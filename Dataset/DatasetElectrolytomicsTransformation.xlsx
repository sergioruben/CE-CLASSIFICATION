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\Desktop\Investigacion de materiales\Base Verificada\"/>
    </mc:Choice>
  </mc:AlternateContent>
  <xr:revisionPtr revIDLastSave="0" documentId="13_ncr:1_{A725DA28-611E-496C-9E58-A39D0F3200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lectrolitosNuevosCreacion" sheetId="1" r:id="rId1"/>
    <sheet name="Molecular Solvent" sheetId="2" r:id="rId2"/>
    <sheet name="Molecular Salt" sheetId="4" r:id="rId3"/>
  </sheets>
  <calcPr calcId="191029"/>
</workbook>
</file>

<file path=xl/calcChain.xml><?xml version="1.0" encoding="utf-8"?>
<calcChain xmlns="http://schemas.openxmlformats.org/spreadsheetml/2006/main">
  <c r="BB2" i="1" l="1"/>
  <c r="BB3" i="1"/>
  <c r="BB4" i="1"/>
  <c r="BB5" i="1"/>
  <c r="BB6" i="1"/>
  <c r="BH6" i="1" s="1"/>
  <c r="BB7" i="1"/>
  <c r="BH7" i="1" s="1"/>
  <c r="BB8" i="1"/>
  <c r="BH8" i="1" s="1"/>
  <c r="BB9" i="1"/>
  <c r="BH9" i="1" s="1"/>
  <c r="BB10" i="1"/>
  <c r="BB11" i="1"/>
  <c r="BB12" i="1"/>
  <c r="BB13" i="1"/>
  <c r="BB14" i="1"/>
  <c r="BB15" i="1"/>
  <c r="BH15" i="1" s="1"/>
  <c r="BB16" i="1"/>
  <c r="BH16" i="1" s="1"/>
  <c r="BB17" i="1"/>
  <c r="BH17" i="1" s="1"/>
  <c r="BB18" i="1"/>
  <c r="BH18" i="1" s="1"/>
  <c r="BB19" i="1"/>
  <c r="BB20" i="1"/>
  <c r="BH20" i="1" s="1"/>
  <c r="BB21" i="1"/>
  <c r="BB22" i="1"/>
  <c r="BB23" i="1"/>
  <c r="BH23" i="1" s="1"/>
  <c r="BB24" i="1"/>
  <c r="BB25" i="1"/>
  <c r="BH25" i="1" s="1"/>
  <c r="BB26" i="1"/>
  <c r="BH26" i="1" s="1"/>
  <c r="BB27" i="1"/>
  <c r="BB28" i="1"/>
  <c r="BB29" i="1"/>
  <c r="BH29" i="1" s="1"/>
  <c r="BB30" i="1"/>
  <c r="BB31" i="1"/>
  <c r="BH31" i="1" s="1"/>
  <c r="BB32" i="1"/>
  <c r="BB33" i="1"/>
  <c r="BH33" i="1" s="1"/>
  <c r="BB34" i="1"/>
  <c r="BH34" i="1" s="1"/>
  <c r="BB35" i="1"/>
  <c r="BH35" i="1" s="1"/>
  <c r="BB36" i="1"/>
  <c r="BH36" i="1" s="1"/>
  <c r="BB37" i="1"/>
  <c r="BH37" i="1" s="1"/>
  <c r="BB38" i="1"/>
  <c r="BH38" i="1" s="1"/>
  <c r="BB39" i="1"/>
  <c r="BH39" i="1" s="1"/>
  <c r="BB40" i="1"/>
  <c r="BH40" i="1" s="1"/>
  <c r="BB41" i="1"/>
  <c r="BH41" i="1" s="1"/>
  <c r="BB42" i="1"/>
  <c r="BH42" i="1" s="1"/>
  <c r="BB43" i="1"/>
  <c r="BB44" i="1"/>
  <c r="BH44" i="1" s="1"/>
  <c r="BB45" i="1"/>
  <c r="BH45" i="1" s="1"/>
  <c r="BB46" i="1"/>
  <c r="BH46" i="1" s="1"/>
  <c r="BB47" i="1"/>
  <c r="BB48" i="1"/>
  <c r="BH48" i="1" s="1"/>
  <c r="BB49" i="1"/>
  <c r="BH49" i="1" s="1"/>
  <c r="BB50" i="1"/>
  <c r="BH50" i="1" s="1"/>
  <c r="BB51" i="1"/>
  <c r="BH51" i="1" s="1"/>
  <c r="BB52" i="1"/>
  <c r="BH52" i="1" s="1"/>
  <c r="BB53" i="1"/>
  <c r="BH53" i="1" s="1"/>
  <c r="BB54" i="1"/>
  <c r="BB55" i="1"/>
  <c r="BB56" i="1"/>
  <c r="BB57" i="1"/>
  <c r="BB58" i="1"/>
  <c r="BH58" i="1" s="1"/>
  <c r="BB59" i="1"/>
  <c r="BB60" i="1"/>
  <c r="BH60" i="1" s="1"/>
  <c r="BB61" i="1"/>
  <c r="BB62" i="1"/>
  <c r="BB63" i="1"/>
  <c r="BB64" i="1"/>
  <c r="BB65" i="1"/>
  <c r="BH65" i="1" s="1"/>
  <c r="BB66" i="1"/>
  <c r="BB67" i="1"/>
  <c r="BH67" i="1" s="1"/>
  <c r="BB68" i="1"/>
  <c r="BH68" i="1" s="1"/>
  <c r="BB69" i="1"/>
  <c r="BH69" i="1" s="1"/>
  <c r="BB70" i="1"/>
  <c r="BH70" i="1" s="1"/>
  <c r="BB71" i="1"/>
  <c r="BB72" i="1"/>
  <c r="BB73" i="1"/>
  <c r="BB74" i="1"/>
  <c r="BB75" i="1"/>
  <c r="BB76" i="1"/>
  <c r="BB77" i="1"/>
  <c r="BB78" i="1"/>
  <c r="BB79" i="1"/>
  <c r="BB80" i="1"/>
  <c r="BH80" i="1" s="1"/>
  <c r="BB81" i="1"/>
  <c r="BH81" i="1" s="1"/>
  <c r="BB82" i="1"/>
  <c r="BB83" i="1"/>
  <c r="BB84" i="1"/>
  <c r="BH84" i="1" s="1"/>
  <c r="BB85" i="1"/>
  <c r="BH85" i="1" s="1"/>
  <c r="BB86" i="1"/>
  <c r="BB87" i="1"/>
  <c r="BB88" i="1"/>
  <c r="BB89" i="1"/>
  <c r="BB90" i="1"/>
  <c r="BB91" i="1"/>
  <c r="BB92" i="1"/>
  <c r="BB93" i="1"/>
  <c r="BB94" i="1"/>
  <c r="BH94" i="1" s="1"/>
  <c r="BB95" i="1"/>
  <c r="BB96" i="1"/>
  <c r="BH96" i="1" s="1"/>
  <c r="BB97" i="1"/>
  <c r="BH97" i="1" s="1"/>
  <c r="BB98" i="1"/>
  <c r="BH98" i="1" s="1"/>
  <c r="BB99" i="1"/>
  <c r="BH99" i="1" s="1"/>
  <c r="BB100" i="1"/>
  <c r="BH100" i="1" s="1"/>
  <c r="BB101" i="1"/>
  <c r="BH101" i="1" s="1"/>
  <c r="BB102" i="1"/>
  <c r="BH102" i="1" s="1"/>
  <c r="BB103" i="1"/>
  <c r="BH103" i="1" s="1"/>
  <c r="BB104" i="1"/>
  <c r="BH104" i="1" s="1"/>
  <c r="BB105" i="1"/>
  <c r="BH105" i="1" s="1"/>
  <c r="BB106" i="1"/>
  <c r="BH106" i="1" s="1"/>
  <c r="BB107" i="1"/>
  <c r="BH107" i="1" s="1"/>
  <c r="BB108" i="1"/>
  <c r="BH108" i="1" s="1"/>
  <c r="BB109" i="1"/>
  <c r="BH109" i="1" s="1"/>
  <c r="BB110" i="1"/>
  <c r="BH110" i="1" s="1"/>
  <c r="BB111" i="1"/>
  <c r="BH111" i="1" s="1"/>
  <c r="BB112" i="1"/>
  <c r="BB113" i="1"/>
  <c r="BB114" i="1"/>
  <c r="BB115" i="1"/>
  <c r="BH115" i="1" s="1"/>
  <c r="BB116" i="1"/>
  <c r="BB117" i="1"/>
  <c r="BB118" i="1"/>
  <c r="BB119" i="1"/>
  <c r="BH119" i="1" s="1"/>
  <c r="BB120" i="1"/>
  <c r="BH120" i="1" s="1"/>
  <c r="BB121" i="1"/>
  <c r="BH121" i="1" s="1"/>
  <c r="BB122" i="1"/>
  <c r="BH122" i="1" s="1"/>
  <c r="BB123" i="1"/>
  <c r="BH123" i="1" s="1"/>
  <c r="BB124" i="1"/>
  <c r="BH124" i="1" s="1"/>
  <c r="BB125" i="1"/>
  <c r="BH125" i="1" s="1"/>
  <c r="BB126" i="1"/>
  <c r="BH126" i="1" s="1"/>
  <c r="BB127" i="1"/>
  <c r="BH127" i="1" s="1"/>
  <c r="BB128" i="1"/>
  <c r="BH128" i="1" s="1"/>
  <c r="BB129" i="1"/>
  <c r="BH129" i="1" s="1"/>
  <c r="BB130" i="1"/>
  <c r="BB131" i="1"/>
  <c r="BB132" i="1"/>
  <c r="BB133" i="1"/>
  <c r="BB134" i="1"/>
  <c r="BB135" i="1"/>
  <c r="BB136" i="1"/>
  <c r="BB137" i="1"/>
  <c r="BB138" i="1"/>
  <c r="BH138" i="1" s="1"/>
  <c r="BB139" i="1"/>
  <c r="BB140" i="1"/>
  <c r="BA2" i="1"/>
  <c r="BA3" i="1"/>
  <c r="BA4" i="1"/>
  <c r="BA5" i="1"/>
  <c r="BA6" i="1"/>
  <c r="BA7" i="1"/>
  <c r="BA8" i="1"/>
  <c r="BA9" i="1"/>
  <c r="BA10" i="1"/>
  <c r="BA11" i="1"/>
  <c r="BH11" i="1" s="1"/>
  <c r="BA12" i="1"/>
  <c r="BH12" i="1" s="1"/>
  <c r="BA13" i="1"/>
  <c r="BH13" i="1" s="1"/>
  <c r="BA14" i="1"/>
  <c r="BH14" i="1" s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H27" i="1" s="1"/>
  <c r="BA28" i="1"/>
  <c r="BH28" i="1" s="1"/>
  <c r="BA29" i="1"/>
  <c r="BA30" i="1"/>
  <c r="BH30" i="1" s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H43" i="1" s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H59" i="1" s="1"/>
  <c r="BA60" i="1"/>
  <c r="BA61" i="1"/>
  <c r="BH61" i="1" s="1"/>
  <c r="BA62" i="1"/>
  <c r="BH62" i="1" s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H75" i="1" s="1"/>
  <c r="BA76" i="1"/>
  <c r="BH76" i="1" s="1"/>
  <c r="BA77" i="1"/>
  <c r="BH77" i="1" s="1"/>
  <c r="BA78" i="1"/>
  <c r="BH78" i="1" s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H91" i="1" s="1"/>
  <c r="BA92" i="1"/>
  <c r="BH92" i="1" s="1"/>
  <c r="BA93" i="1"/>
  <c r="BH93" i="1" s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H139" i="1" s="1"/>
  <c r="BA140" i="1"/>
  <c r="BH140" i="1" s="1"/>
  <c r="AZ2" i="1"/>
  <c r="AZ3" i="1"/>
  <c r="AZ4" i="1"/>
  <c r="AZ5" i="1"/>
  <c r="AZ6" i="1"/>
  <c r="AZ7" i="1"/>
  <c r="AZ8" i="1"/>
  <c r="AZ9" i="1"/>
  <c r="AZ10" i="1"/>
  <c r="AZ11" i="1"/>
  <c r="AZ12" i="1"/>
  <c r="AZ13" i="1"/>
  <c r="AZ14" i="1"/>
  <c r="BG14" i="1" s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BG30" i="1" s="1"/>
  <c r="AZ31" i="1"/>
  <c r="AZ32" i="1"/>
  <c r="AZ33" i="1"/>
  <c r="AZ34" i="1"/>
  <c r="AZ35" i="1"/>
  <c r="AZ36" i="1"/>
  <c r="AZ37" i="1"/>
  <c r="AZ38" i="1"/>
  <c r="AZ39" i="1"/>
  <c r="AZ40" i="1"/>
  <c r="BG40" i="1" s="1"/>
  <c r="AZ41" i="1"/>
  <c r="AZ42" i="1"/>
  <c r="AZ43" i="1"/>
  <c r="AZ44" i="1"/>
  <c r="AZ45" i="1"/>
  <c r="AZ46" i="1"/>
  <c r="BG46" i="1" s="1"/>
  <c r="AZ47" i="1"/>
  <c r="AZ48" i="1"/>
  <c r="AZ49" i="1"/>
  <c r="AZ50" i="1"/>
  <c r="AZ51" i="1"/>
  <c r="AZ52" i="1"/>
  <c r="AZ53" i="1"/>
  <c r="AZ54" i="1"/>
  <c r="AZ55" i="1"/>
  <c r="AZ56" i="1"/>
  <c r="BG56" i="1" s="1"/>
  <c r="AZ57" i="1"/>
  <c r="AZ58" i="1"/>
  <c r="AZ59" i="1"/>
  <c r="AZ60" i="1"/>
  <c r="AZ61" i="1"/>
  <c r="AZ62" i="1"/>
  <c r="BG62" i="1" s="1"/>
  <c r="AZ63" i="1"/>
  <c r="AZ64" i="1"/>
  <c r="AZ65" i="1"/>
  <c r="AZ66" i="1"/>
  <c r="AZ67" i="1"/>
  <c r="AZ68" i="1"/>
  <c r="AZ69" i="1"/>
  <c r="AZ70" i="1"/>
  <c r="AZ71" i="1"/>
  <c r="AZ72" i="1"/>
  <c r="BG72" i="1" s="1"/>
  <c r="AZ73" i="1"/>
  <c r="AZ74" i="1"/>
  <c r="AZ75" i="1"/>
  <c r="AZ76" i="1"/>
  <c r="AZ77" i="1"/>
  <c r="AZ78" i="1"/>
  <c r="BG78" i="1" s="1"/>
  <c r="AZ79" i="1"/>
  <c r="AZ80" i="1"/>
  <c r="AZ81" i="1"/>
  <c r="AZ82" i="1"/>
  <c r="AZ83" i="1"/>
  <c r="AZ84" i="1"/>
  <c r="AZ85" i="1"/>
  <c r="AZ86" i="1"/>
  <c r="AZ87" i="1"/>
  <c r="AZ88" i="1"/>
  <c r="BG88" i="1" s="1"/>
  <c r="AZ89" i="1"/>
  <c r="AZ90" i="1"/>
  <c r="AZ91" i="1"/>
  <c r="AZ92" i="1"/>
  <c r="AZ93" i="1"/>
  <c r="AZ94" i="1"/>
  <c r="BG94" i="1" s="1"/>
  <c r="AZ95" i="1"/>
  <c r="AZ96" i="1"/>
  <c r="AZ97" i="1"/>
  <c r="AZ98" i="1"/>
  <c r="AZ99" i="1"/>
  <c r="AZ100" i="1"/>
  <c r="AZ101" i="1"/>
  <c r="AZ102" i="1"/>
  <c r="AZ103" i="1"/>
  <c r="AZ104" i="1"/>
  <c r="BG104" i="1" s="1"/>
  <c r="AZ105" i="1"/>
  <c r="AZ106" i="1"/>
  <c r="AZ107" i="1"/>
  <c r="AZ108" i="1"/>
  <c r="AZ109" i="1"/>
  <c r="AZ110" i="1"/>
  <c r="BG110" i="1" s="1"/>
  <c r="AZ111" i="1"/>
  <c r="AZ112" i="1"/>
  <c r="AZ113" i="1"/>
  <c r="AZ114" i="1"/>
  <c r="AZ115" i="1"/>
  <c r="AZ116" i="1"/>
  <c r="AZ117" i="1"/>
  <c r="AZ118" i="1"/>
  <c r="AZ119" i="1"/>
  <c r="AZ120" i="1"/>
  <c r="BG120" i="1" s="1"/>
  <c r="AZ121" i="1"/>
  <c r="AZ122" i="1"/>
  <c r="AZ123" i="1"/>
  <c r="AZ124" i="1"/>
  <c r="AZ125" i="1"/>
  <c r="AZ126" i="1"/>
  <c r="BG126" i="1" s="1"/>
  <c r="AZ127" i="1"/>
  <c r="AZ128" i="1"/>
  <c r="AZ129" i="1"/>
  <c r="AZ130" i="1"/>
  <c r="AZ131" i="1"/>
  <c r="AZ132" i="1"/>
  <c r="AZ133" i="1"/>
  <c r="AZ134" i="1"/>
  <c r="AZ135" i="1"/>
  <c r="AZ136" i="1"/>
  <c r="BG136" i="1" s="1"/>
  <c r="AZ137" i="1"/>
  <c r="AZ138" i="1"/>
  <c r="AZ139" i="1"/>
  <c r="AZ140" i="1"/>
  <c r="AY2" i="1"/>
  <c r="AY3" i="1"/>
  <c r="AY4" i="1"/>
  <c r="AY5" i="1"/>
  <c r="AY6" i="1"/>
  <c r="AY7" i="1"/>
  <c r="AY8" i="1"/>
  <c r="AY9" i="1"/>
  <c r="AY10" i="1"/>
  <c r="AY11" i="1"/>
  <c r="AY12" i="1"/>
  <c r="AY13" i="1"/>
  <c r="BF13" i="1" s="1"/>
  <c r="AY14" i="1"/>
  <c r="BF14" i="1" s="1"/>
  <c r="BI14" i="1" s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BF29" i="1" s="1"/>
  <c r="AY30" i="1"/>
  <c r="BF30" i="1" s="1"/>
  <c r="BI30" i="1" s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BF45" i="1" s="1"/>
  <c r="AY46" i="1"/>
  <c r="BF46" i="1" s="1"/>
  <c r="BI46" i="1" s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BF61" i="1" s="1"/>
  <c r="AY62" i="1"/>
  <c r="BF62" i="1" s="1"/>
  <c r="BI62" i="1" s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BF77" i="1" s="1"/>
  <c r="AY78" i="1"/>
  <c r="BF78" i="1" s="1"/>
  <c r="BI78" i="1" s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BF93" i="1" s="1"/>
  <c r="AY94" i="1"/>
  <c r="BF94" i="1" s="1"/>
  <c r="BI94" i="1" s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BF109" i="1" s="1"/>
  <c r="AY110" i="1"/>
  <c r="BF110" i="1" s="1"/>
  <c r="BI110" i="1" s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BF125" i="1" s="1"/>
  <c r="AY126" i="1"/>
  <c r="BF126" i="1" s="1"/>
  <c r="BI126" i="1" s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BK2" i="1"/>
  <c r="AX2" i="1"/>
  <c r="BD2" i="1" s="1"/>
  <c r="AX3" i="1"/>
  <c r="BD3" i="1" s="1"/>
  <c r="AX4" i="1"/>
  <c r="BD4" i="1" s="1"/>
  <c r="AX5" i="1"/>
  <c r="BD5" i="1" s="1"/>
  <c r="AX6" i="1"/>
  <c r="BD6" i="1" s="1"/>
  <c r="AX7" i="1"/>
  <c r="BD7" i="1" s="1"/>
  <c r="AX8" i="1"/>
  <c r="BD8" i="1" s="1"/>
  <c r="AX9" i="1"/>
  <c r="BD9" i="1" s="1"/>
  <c r="AX10" i="1"/>
  <c r="BD10" i="1" s="1"/>
  <c r="AX11" i="1"/>
  <c r="BD11" i="1" s="1"/>
  <c r="AX12" i="1"/>
  <c r="BD12" i="1" s="1"/>
  <c r="AX13" i="1"/>
  <c r="BD13" i="1" s="1"/>
  <c r="AX14" i="1"/>
  <c r="BD14" i="1" s="1"/>
  <c r="AX15" i="1"/>
  <c r="BD15" i="1" s="1"/>
  <c r="AX16" i="1"/>
  <c r="BD16" i="1" s="1"/>
  <c r="AX17" i="1"/>
  <c r="BD17" i="1" s="1"/>
  <c r="AX18" i="1"/>
  <c r="BD18" i="1" s="1"/>
  <c r="AX19" i="1"/>
  <c r="BD19" i="1" s="1"/>
  <c r="AX20" i="1"/>
  <c r="BD20" i="1" s="1"/>
  <c r="AX21" i="1"/>
  <c r="BD21" i="1" s="1"/>
  <c r="AX22" i="1"/>
  <c r="BD22" i="1" s="1"/>
  <c r="AX23" i="1"/>
  <c r="BD23" i="1" s="1"/>
  <c r="AX24" i="1"/>
  <c r="BD24" i="1" s="1"/>
  <c r="AX25" i="1"/>
  <c r="BD25" i="1" s="1"/>
  <c r="AX26" i="1"/>
  <c r="BD26" i="1" s="1"/>
  <c r="AX27" i="1"/>
  <c r="BD27" i="1" s="1"/>
  <c r="AX28" i="1"/>
  <c r="BD28" i="1" s="1"/>
  <c r="AX29" i="1"/>
  <c r="BD29" i="1" s="1"/>
  <c r="AX30" i="1"/>
  <c r="BD30" i="1" s="1"/>
  <c r="AX31" i="1"/>
  <c r="BD31" i="1" s="1"/>
  <c r="AX32" i="1"/>
  <c r="BD32" i="1" s="1"/>
  <c r="AX33" i="1"/>
  <c r="BD33" i="1" s="1"/>
  <c r="AX34" i="1"/>
  <c r="BD34" i="1" s="1"/>
  <c r="AX35" i="1"/>
  <c r="BD35" i="1" s="1"/>
  <c r="AX36" i="1"/>
  <c r="BD36" i="1" s="1"/>
  <c r="AX37" i="1"/>
  <c r="BD37" i="1" s="1"/>
  <c r="AX38" i="1"/>
  <c r="BD38" i="1" s="1"/>
  <c r="AX39" i="1"/>
  <c r="BD39" i="1" s="1"/>
  <c r="AX40" i="1"/>
  <c r="BD40" i="1" s="1"/>
  <c r="AX41" i="1"/>
  <c r="BD41" i="1" s="1"/>
  <c r="AX42" i="1"/>
  <c r="BD42" i="1" s="1"/>
  <c r="AX43" i="1"/>
  <c r="BD43" i="1" s="1"/>
  <c r="AX44" i="1"/>
  <c r="BD44" i="1" s="1"/>
  <c r="AX45" i="1"/>
  <c r="BD45" i="1" s="1"/>
  <c r="AX46" i="1"/>
  <c r="BD46" i="1" s="1"/>
  <c r="AX47" i="1"/>
  <c r="BD47" i="1" s="1"/>
  <c r="AX48" i="1"/>
  <c r="BD48" i="1" s="1"/>
  <c r="AX49" i="1"/>
  <c r="BD49" i="1" s="1"/>
  <c r="AX50" i="1"/>
  <c r="BD50" i="1" s="1"/>
  <c r="AX51" i="1"/>
  <c r="BD51" i="1" s="1"/>
  <c r="AX52" i="1"/>
  <c r="BD52" i="1" s="1"/>
  <c r="AX53" i="1"/>
  <c r="BD53" i="1" s="1"/>
  <c r="AX54" i="1"/>
  <c r="BD54" i="1" s="1"/>
  <c r="AX55" i="1"/>
  <c r="BD55" i="1" s="1"/>
  <c r="AX56" i="1"/>
  <c r="BD56" i="1" s="1"/>
  <c r="AX57" i="1"/>
  <c r="BD57" i="1" s="1"/>
  <c r="AX58" i="1"/>
  <c r="BD58" i="1" s="1"/>
  <c r="AX59" i="1"/>
  <c r="BD59" i="1" s="1"/>
  <c r="AX60" i="1"/>
  <c r="BD60" i="1" s="1"/>
  <c r="AX61" i="1"/>
  <c r="BD61" i="1" s="1"/>
  <c r="AX62" i="1"/>
  <c r="BD62" i="1" s="1"/>
  <c r="AX63" i="1"/>
  <c r="BD63" i="1" s="1"/>
  <c r="AX64" i="1"/>
  <c r="BD64" i="1" s="1"/>
  <c r="AX65" i="1"/>
  <c r="BD65" i="1" s="1"/>
  <c r="AX66" i="1"/>
  <c r="BD66" i="1" s="1"/>
  <c r="AX67" i="1"/>
  <c r="BD67" i="1" s="1"/>
  <c r="AX68" i="1"/>
  <c r="BD68" i="1" s="1"/>
  <c r="AX69" i="1"/>
  <c r="BD69" i="1" s="1"/>
  <c r="AX70" i="1"/>
  <c r="BD70" i="1" s="1"/>
  <c r="AX71" i="1"/>
  <c r="BD71" i="1" s="1"/>
  <c r="AX72" i="1"/>
  <c r="BD72" i="1" s="1"/>
  <c r="AX73" i="1"/>
  <c r="BD73" i="1" s="1"/>
  <c r="AX74" i="1"/>
  <c r="BD74" i="1" s="1"/>
  <c r="AX75" i="1"/>
  <c r="BD75" i="1" s="1"/>
  <c r="AX76" i="1"/>
  <c r="BD76" i="1" s="1"/>
  <c r="AX77" i="1"/>
  <c r="BD77" i="1" s="1"/>
  <c r="AX78" i="1"/>
  <c r="BD78" i="1" s="1"/>
  <c r="AX79" i="1"/>
  <c r="BD79" i="1" s="1"/>
  <c r="AX80" i="1"/>
  <c r="BD80" i="1" s="1"/>
  <c r="AX81" i="1"/>
  <c r="BD81" i="1" s="1"/>
  <c r="AX82" i="1"/>
  <c r="BD82" i="1" s="1"/>
  <c r="AX83" i="1"/>
  <c r="BD83" i="1" s="1"/>
  <c r="AX84" i="1"/>
  <c r="BD84" i="1" s="1"/>
  <c r="AX85" i="1"/>
  <c r="BD85" i="1" s="1"/>
  <c r="AX86" i="1"/>
  <c r="BD86" i="1" s="1"/>
  <c r="AX87" i="1"/>
  <c r="BD87" i="1" s="1"/>
  <c r="AX88" i="1"/>
  <c r="BD88" i="1" s="1"/>
  <c r="AX89" i="1"/>
  <c r="BD89" i="1" s="1"/>
  <c r="AX90" i="1"/>
  <c r="BD90" i="1" s="1"/>
  <c r="AX91" i="1"/>
  <c r="BD91" i="1" s="1"/>
  <c r="AX92" i="1"/>
  <c r="BD92" i="1" s="1"/>
  <c r="AX93" i="1"/>
  <c r="BD93" i="1" s="1"/>
  <c r="AX94" i="1"/>
  <c r="BD94" i="1" s="1"/>
  <c r="AX95" i="1"/>
  <c r="BD95" i="1" s="1"/>
  <c r="AX96" i="1"/>
  <c r="BD96" i="1" s="1"/>
  <c r="AX97" i="1"/>
  <c r="BD97" i="1" s="1"/>
  <c r="AX98" i="1"/>
  <c r="BD98" i="1" s="1"/>
  <c r="AX99" i="1"/>
  <c r="BD99" i="1" s="1"/>
  <c r="AX100" i="1"/>
  <c r="BD100" i="1" s="1"/>
  <c r="AX101" i="1"/>
  <c r="BD101" i="1" s="1"/>
  <c r="AX102" i="1"/>
  <c r="BD102" i="1" s="1"/>
  <c r="AX103" i="1"/>
  <c r="BD103" i="1" s="1"/>
  <c r="AX104" i="1"/>
  <c r="BD104" i="1" s="1"/>
  <c r="AX105" i="1"/>
  <c r="BD105" i="1" s="1"/>
  <c r="AX106" i="1"/>
  <c r="BD106" i="1" s="1"/>
  <c r="AX107" i="1"/>
  <c r="BD107" i="1" s="1"/>
  <c r="AX108" i="1"/>
  <c r="BD108" i="1" s="1"/>
  <c r="AX109" i="1"/>
  <c r="BD109" i="1" s="1"/>
  <c r="AX110" i="1"/>
  <c r="BD110" i="1" s="1"/>
  <c r="AX111" i="1"/>
  <c r="BD111" i="1" s="1"/>
  <c r="AX112" i="1"/>
  <c r="BD112" i="1" s="1"/>
  <c r="AX113" i="1"/>
  <c r="BD113" i="1" s="1"/>
  <c r="AX114" i="1"/>
  <c r="BD114" i="1" s="1"/>
  <c r="AX115" i="1"/>
  <c r="BD115" i="1" s="1"/>
  <c r="AX116" i="1"/>
  <c r="BD116" i="1" s="1"/>
  <c r="AX117" i="1"/>
  <c r="BD117" i="1" s="1"/>
  <c r="AX118" i="1"/>
  <c r="BD118" i="1" s="1"/>
  <c r="AX119" i="1"/>
  <c r="BD119" i="1" s="1"/>
  <c r="AX120" i="1"/>
  <c r="BD120" i="1" s="1"/>
  <c r="AX121" i="1"/>
  <c r="BD121" i="1" s="1"/>
  <c r="AX122" i="1"/>
  <c r="BD122" i="1" s="1"/>
  <c r="AX123" i="1"/>
  <c r="BD123" i="1" s="1"/>
  <c r="AX124" i="1"/>
  <c r="BD124" i="1" s="1"/>
  <c r="AX125" i="1"/>
  <c r="BD125" i="1" s="1"/>
  <c r="AX126" i="1"/>
  <c r="BD126" i="1" s="1"/>
  <c r="AX127" i="1"/>
  <c r="BD127" i="1" s="1"/>
  <c r="AX128" i="1"/>
  <c r="BD128" i="1" s="1"/>
  <c r="AX129" i="1"/>
  <c r="BD129" i="1" s="1"/>
  <c r="AX130" i="1"/>
  <c r="BD130" i="1" s="1"/>
  <c r="AX131" i="1"/>
  <c r="BD131" i="1" s="1"/>
  <c r="AX132" i="1"/>
  <c r="BD132" i="1" s="1"/>
  <c r="AX133" i="1"/>
  <c r="BD133" i="1" s="1"/>
  <c r="AX134" i="1"/>
  <c r="BD134" i="1" s="1"/>
  <c r="AX135" i="1"/>
  <c r="BD135" i="1" s="1"/>
  <c r="AX136" i="1"/>
  <c r="BD136" i="1" s="1"/>
  <c r="AX137" i="1"/>
  <c r="BD137" i="1" s="1"/>
  <c r="AX138" i="1"/>
  <c r="BD138" i="1" s="1"/>
  <c r="AX139" i="1"/>
  <c r="BD139" i="1" s="1"/>
  <c r="AX140" i="1"/>
  <c r="BD140" i="1" s="1"/>
  <c r="AW2" i="1"/>
  <c r="BC2" i="1" s="1"/>
  <c r="AW3" i="1"/>
  <c r="BC3" i="1" s="1"/>
  <c r="AW4" i="1"/>
  <c r="BC4" i="1" s="1"/>
  <c r="AW5" i="1"/>
  <c r="BC5" i="1" s="1"/>
  <c r="BE5" i="1" s="1"/>
  <c r="AW6" i="1"/>
  <c r="BC6" i="1" s="1"/>
  <c r="AW7" i="1"/>
  <c r="BC7" i="1" s="1"/>
  <c r="AW8" i="1"/>
  <c r="BC8" i="1" s="1"/>
  <c r="AW9" i="1"/>
  <c r="BC9" i="1" s="1"/>
  <c r="AW10" i="1"/>
  <c r="BC10" i="1" s="1"/>
  <c r="AW11" i="1"/>
  <c r="BC11" i="1" s="1"/>
  <c r="AW12" i="1"/>
  <c r="BC12" i="1" s="1"/>
  <c r="AW13" i="1"/>
  <c r="BC13" i="1" s="1"/>
  <c r="AW14" i="1"/>
  <c r="BC14" i="1" s="1"/>
  <c r="BE14" i="1" s="1"/>
  <c r="BJ14" i="1" s="1"/>
  <c r="AW15" i="1"/>
  <c r="BC15" i="1" s="1"/>
  <c r="AW16" i="1"/>
  <c r="BC16" i="1" s="1"/>
  <c r="AW17" i="1"/>
  <c r="BC17" i="1" s="1"/>
  <c r="AW18" i="1"/>
  <c r="BC18" i="1" s="1"/>
  <c r="AW19" i="1"/>
  <c r="BC19" i="1" s="1"/>
  <c r="AW20" i="1"/>
  <c r="BC20" i="1" s="1"/>
  <c r="AW21" i="1"/>
  <c r="BC21" i="1" s="1"/>
  <c r="BE21" i="1" s="1"/>
  <c r="AW22" i="1"/>
  <c r="BC22" i="1" s="1"/>
  <c r="AW23" i="1"/>
  <c r="BC23" i="1" s="1"/>
  <c r="AW24" i="1"/>
  <c r="BC24" i="1" s="1"/>
  <c r="AW25" i="1"/>
  <c r="BC25" i="1" s="1"/>
  <c r="AW26" i="1"/>
  <c r="BC26" i="1" s="1"/>
  <c r="AW27" i="1"/>
  <c r="BC27" i="1" s="1"/>
  <c r="AW28" i="1"/>
  <c r="BC28" i="1" s="1"/>
  <c r="AW29" i="1"/>
  <c r="BC29" i="1" s="1"/>
  <c r="AW30" i="1"/>
  <c r="BC30" i="1" s="1"/>
  <c r="BE30" i="1" s="1"/>
  <c r="BJ30" i="1" s="1"/>
  <c r="AW31" i="1"/>
  <c r="BC31" i="1" s="1"/>
  <c r="AW32" i="1"/>
  <c r="BC32" i="1" s="1"/>
  <c r="AW33" i="1"/>
  <c r="BC33" i="1" s="1"/>
  <c r="AW34" i="1"/>
  <c r="BC34" i="1" s="1"/>
  <c r="AW35" i="1"/>
  <c r="BC35" i="1" s="1"/>
  <c r="AW36" i="1"/>
  <c r="BC36" i="1" s="1"/>
  <c r="AW37" i="1"/>
  <c r="BC37" i="1" s="1"/>
  <c r="BE37" i="1" s="1"/>
  <c r="AW38" i="1"/>
  <c r="BC38" i="1" s="1"/>
  <c r="AW39" i="1"/>
  <c r="BC39" i="1" s="1"/>
  <c r="AW40" i="1"/>
  <c r="BC40" i="1" s="1"/>
  <c r="AW41" i="1"/>
  <c r="BC41" i="1" s="1"/>
  <c r="AW42" i="1"/>
  <c r="BC42" i="1" s="1"/>
  <c r="AW43" i="1"/>
  <c r="BC43" i="1" s="1"/>
  <c r="AW44" i="1"/>
  <c r="BC44" i="1" s="1"/>
  <c r="AW45" i="1"/>
  <c r="BC45" i="1" s="1"/>
  <c r="AW46" i="1"/>
  <c r="BC46" i="1" s="1"/>
  <c r="BE46" i="1" s="1"/>
  <c r="BJ46" i="1" s="1"/>
  <c r="AW47" i="1"/>
  <c r="BC47" i="1" s="1"/>
  <c r="AW48" i="1"/>
  <c r="BC48" i="1" s="1"/>
  <c r="AW49" i="1"/>
  <c r="BC49" i="1" s="1"/>
  <c r="AW50" i="1"/>
  <c r="BC50" i="1" s="1"/>
  <c r="AW51" i="1"/>
  <c r="BC51" i="1" s="1"/>
  <c r="AW52" i="1"/>
  <c r="BC52" i="1" s="1"/>
  <c r="AW53" i="1"/>
  <c r="BC53" i="1" s="1"/>
  <c r="BE53" i="1" s="1"/>
  <c r="AW54" i="1"/>
  <c r="BC54" i="1" s="1"/>
  <c r="AW55" i="1"/>
  <c r="BC55" i="1" s="1"/>
  <c r="AW56" i="1"/>
  <c r="BC56" i="1" s="1"/>
  <c r="AW57" i="1"/>
  <c r="BC57" i="1" s="1"/>
  <c r="AW58" i="1"/>
  <c r="BC58" i="1" s="1"/>
  <c r="AW59" i="1"/>
  <c r="BC59" i="1" s="1"/>
  <c r="AW60" i="1"/>
  <c r="BC60" i="1" s="1"/>
  <c r="AW61" i="1"/>
  <c r="BC61" i="1" s="1"/>
  <c r="AW62" i="1"/>
  <c r="BC62" i="1" s="1"/>
  <c r="BE62" i="1" s="1"/>
  <c r="BJ62" i="1" s="1"/>
  <c r="AW63" i="1"/>
  <c r="BC63" i="1" s="1"/>
  <c r="AW64" i="1"/>
  <c r="BC64" i="1" s="1"/>
  <c r="AW65" i="1"/>
  <c r="BC65" i="1" s="1"/>
  <c r="AW66" i="1"/>
  <c r="BC66" i="1" s="1"/>
  <c r="AW67" i="1"/>
  <c r="BC67" i="1" s="1"/>
  <c r="AW68" i="1"/>
  <c r="BC68" i="1" s="1"/>
  <c r="AW69" i="1"/>
  <c r="BC69" i="1" s="1"/>
  <c r="BE69" i="1" s="1"/>
  <c r="AW70" i="1"/>
  <c r="BC70" i="1" s="1"/>
  <c r="AW71" i="1"/>
  <c r="BC71" i="1" s="1"/>
  <c r="AW72" i="1"/>
  <c r="BC72" i="1" s="1"/>
  <c r="AW73" i="1"/>
  <c r="BC73" i="1" s="1"/>
  <c r="AW74" i="1"/>
  <c r="BC74" i="1" s="1"/>
  <c r="AW75" i="1"/>
  <c r="BC75" i="1" s="1"/>
  <c r="AW76" i="1"/>
  <c r="BC76" i="1" s="1"/>
  <c r="AW77" i="1"/>
  <c r="BC77" i="1" s="1"/>
  <c r="AW78" i="1"/>
  <c r="BC78" i="1" s="1"/>
  <c r="BE78" i="1" s="1"/>
  <c r="BJ78" i="1" s="1"/>
  <c r="AW79" i="1"/>
  <c r="BC79" i="1" s="1"/>
  <c r="AW80" i="1"/>
  <c r="BC80" i="1" s="1"/>
  <c r="AW81" i="1"/>
  <c r="BC81" i="1" s="1"/>
  <c r="AW82" i="1"/>
  <c r="BC82" i="1" s="1"/>
  <c r="AW83" i="1"/>
  <c r="BC83" i="1" s="1"/>
  <c r="AW84" i="1"/>
  <c r="BC84" i="1" s="1"/>
  <c r="AW85" i="1"/>
  <c r="BC85" i="1" s="1"/>
  <c r="BE85" i="1" s="1"/>
  <c r="AW86" i="1"/>
  <c r="BC86" i="1" s="1"/>
  <c r="AW87" i="1"/>
  <c r="BC87" i="1" s="1"/>
  <c r="AW88" i="1"/>
  <c r="BC88" i="1" s="1"/>
  <c r="AW89" i="1"/>
  <c r="BC89" i="1" s="1"/>
  <c r="AW90" i="1"/>
  <c r="BC90" i="1" s="1"/>
  <c r="AW91" i="1"/>
  <c r="BC91" i="1" s="1"/>
  <c r="AW92" i="1"/>
  <c r="BC92" i="1" s="1"/>
  <c r="AW93" i="1"/>
  <c r="BC93" i="1" s="1"/>
  <c r="AW94" i="1"/>
  <c r="BC94" i="1" s="1"/>
  <c r="BE94" i="1" s="1"/>
  <c r="BJ94" i="1" s="1"/>
  <c r="AW95" i="1"/>
  <c r="BC95" i="1" s="1"/>
  <c r="AW96" i="1"/>
  <c r="BC96" i="1" s="1"/>
  <c r="AW97" i="1"/>
  <c r="BC97" i="1" s="1"/>
  <c r="AW98" i="1"/>
  <c r="BC98" i="1" s="1"/>
  <c r="AW99" i="1"/>
  <c r="BC99" i="1" s="1"/>
  <c r="AW100" i="1"/>
  <c r="BC100" i="1" s="1"/>
  <c r="AW101" i="1"/>
  <c r="BC101" i="1" s="1"/>
  <c r="BE101" i="1" s="1"/>
  <c r="AW102" i="1"/>
  <c r="BC102" i="1" s="1"/>
  <c r="AW103" i="1"/>
  <c r="BC103" i="1" s="1"/>
  <c r="AW104" i="1"/>
  <c r="BC104" i="1" s="1"/>
  <c r="AW105" i="1"/>
  <c r="BC105" i="1" s="1"/>
  <c r="AW106" i="1"/>
  <c r="BC106" i="1" s="1"/>
  <c r="AW107" i="1"/>
  <c r="BC107" i="1" s="1"/>
  <c r="AW108" i="1"/>
  <c r="BC108" i="1" s="1"/>
  <c r="AW109" i="1"/>
  <c r="BC109" i="1" s="1"/>
  <c r="AW110" i="1"/>
  <c r="BC110" i="1" s="1"/>
  <c r="BE110" i="1" s="1"/>
  <c r="BJ110" i="1" s="1"/>
  <c r="AW111" i="1"/>
  <c r="BC111" i="1" s="1"/>
  <c r="AW112" i="1"/>
  <c r="BC112" i="1" s="1"/>
  <c r="AW113" i="1"/>
  <c r="BC113" i="1" s="1"/>
  <c r="AW114" i="1"/>
  <c r="BC114" i="1" s="1"/>
  <c r="AW115" i="1"/>
  <c r="BC115" i="1" s="1"/>
  <c r="AW116" i="1"/>
  <c r="BC116" i="1" s="1"/>
  <c r="AW117" i="1"/>
  <c r="BC117" i="1" s="1"/>
  <c r="BE117" i="1" s="1"/>
  <c r="AW118" i="1"/>
  <c r="BC118" i="1" s="1"/>
  <c r="AW119" i="1"/>
  <c r="BC119" i="1" s="1"/>
  <c r="AW120" i="1"/>
  <c r="BC120" i="1" s="1"/>
  <c r="AW121" i="1"/>
  <c r="BC121" i="1" s="1"/>
  <c r="AW122" i="1"/>
  <c r="BC122" i="1" s="1"/>
  <c r="AW123" i="1"/>
  <c r="BC123" i="1" s="1"/>
  <c r="AW124" i="1"/>
  <c r="BC124" i="1" s="1"/>
  <c r="AW125" i="1"/>
  <c r="BC125" i="1" s="1"/>
  <c r="AW126" i="1"/>
  <c r="BC126" i="1" s="1"/>
  <c r="BE126" i="1" s="1"/>
  <c r="BJ126" i="1" s="1"/>
  <c r="AW127" i="1"/>
  <c r="BC127" i="1" s="1"/>
  <c r="AW128" i="1"/>
  <c r="BC128" i="1" s="1"/>
  <c r="AW129" i="1"/>
  <c r="BC129" i="1" s="1"/>
  <c r="AW130" i="1"/>
  <c r="BC130" i="1" s="1"/>
  <c r="AW131" i="1"/>
  <c r="BC131" i="1" s="1"/>
  <c r="AW132" i="1"/>
  <c r="BC132" i="1" s="1"/>
  <c r="AW133" i="1"/>
  <c r="BC133" i="1" s="1"/>
  <c r="BE133" i="1" s="1"/>
  <c r="AW134" i="1"/>
  <c r="BC134" i="1" s="1"/>
  <c r="AW135" i="1"/>
  <c r="BC135" i="1" s="1"/>
  <c r="AW136" i="1"/>
  <c r="BC136" i="1" s="1"/>
  <c r="AW137" i="1"/>
  <c r="BC137" i="1" s="1"/>
  <c r="AW138" i="1"/>
  <c r="BC138" i="1" s="1"/>
  <c r="AW139" i="1"/>
  <c r="BC139" i="1" s="1"/>
  <c r="AW140" i="1"/>
  <c r="BC140" i="1" s="1"/>
  <c r="Q2" i="1"/>
  <c r="Q3" i="1"/>
  <c r="Q4" i="1"/>
  <c r="Q5" i="1"/>
  <c r="Q6" i="1"/>
  <c r="Q7" i="1"/>
  <c r="Q8" i="1"/>
  <c r="Q9" i="1"/>
  <c r="Q10" i="1"/>
  <c r="Q11" i="1"/>
  <c r="Q12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P2" i="1"/>
  <c r="P3" i="1"/>
  <c r="P4" i="1"/>
  <c r="P5" i="1"/>
  <c r="P8" i="1"/>
  <c r="P9" i="1"/>
  <c r="P10" i="1"/>
  <c r="P11" i="1"/>
  <c r="P14" i="1"/>
  <c r="P17" i="1"/>
  <c r="P19" i="1"/>
  <c r="P21" i="1"/>
  <c r="P22" i="1"/>
  <c r="P24" i="1"/>
  <c r="P25" i="1"/>
  <c r="P26" i="1"/>
  <c r="P27" i="1"/>
  <c r="P28" i="1"/>
  <c r="P30" i="1"/>
  <c r="P32" i="1"/>
  <c r="P35" i="1"/>
  <c r="P40" i="1"/>
  <c r="P41" i="1"/>
  <c r="P43" i="1"/>
  <c r="P47" i="1"/>
  <c r="P49" i="1"/>
  <c r="P54" i="1"/>
  <c r="P55" i="1"/>
  <c r="P56" i="1"/>
  <c r="P57" i="1"/>
  <c r="P58" i="1"/>
  <c r="P59" i="1"/>
  <c r="P61" i="1"/>
  <c r="P62" i="1"/>
  <c r="P63" i="1"/>
  <c r="P64" i="1"/>
  <c r="P65" i="1"/>
  <c r="P66" i="1"/>
  <c r="P71" i="1"/>
  <c r="P72" i="1"/>
  <c r="P73" i="1"/>
  <c r="P74" i="1"/>
  <c r="P75" i="1"/>
  <c r="P76" i="1"/>
  <c r="P77" i="1"/>
  <c r="P78" i="1"/>
  <c r="P79" i="1"/>
  <c r="P81" i="1"/>
  <c r="P83" i="1"/>
  <c r="P86" i="1"/>
  <c r="P87" i="1"/>
  <c r="P88" i="1"/>
  <c r="P89" i="1"/>
  <c r="P90" i="1"/>
  <c r="P91" i="1"/>
  <c r="P92" i="1"/>
  <c r="P93" i="1"/>
  <c r="P95" i="1"/>
  <c r="P96" i="1"/>
  <c r="P97" i="1"/>
  <c r="P105" i="1"/>
  <c r="P112" i="1"/>
  <c r="P116" i="1"/>
  <c r="P117" i="1"/>
  <c r="P118" i="1"/>
  <c r="P120" i="1"/>
  <c r="P121" i="1"/>
  <c r="P122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O13" i="1"/>
  <c r="O14" i="1"/>
  <c r="O15" i="1"/>
  <c r="O21" i="1"/>
  <c r="O22" i="1"/>
  <c r="O24" i="1"/>
  <c r="O30" i="1"/>
  <c r="O31" i="1"/>
  <c r="O38" i="1"/>
  <c r="O40" i="1"/>
  <c r="O46" i="1"/>
  <c r="O53" i="1"/>
  <c r="O54" i="1"/>
  <c r="O56" i="1"/>
  <c r="O59" i="1"/>
  <c r="O62" i="1"/>
  <c r="O63" i="1"/>
  <c r="O64" i="1"/>
  <c r="O69" i="1"/>
  <c r="O70" i="1"/>
  <c r="O72" i="1"/>
  <c r="O75" i="1"/>
  <c r="O77" i="1"/>
  <c r="O78" i="1"/>
  <c r="O79" i="1"/>
  <c r="O80" i="1"/>
  <c r="O86" i="1"/>
  <c r="O93" i="1"/>
  <c r="O94" i="1"/>
  <c r="O96" i="1"/>
  <c r="O98" i="1"/>
  <c r="O101" i="1"/>
  <c r="O102" i="1"/>
  <c r="O109" i="1"/>
  <c r="O110" i="1"/>
  <c r="O117" i="1"/>
  <c r="O118" i="1"/>
  <c r="O123" i="1"/>
  <c r="O125" i="1"/>
  <c r="O126" i="1"/>
  <c r="O127" i="1"/>
  <c r="O128" i="1"/>
  <c r="O129" i="1"/>
  <c r="O130" i="1"/>
  <c r="O133" i="1"/>
  <c r="O134" i="1"/>
  <c r="O136" i="1"/>
  <c r="O13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K89" i="2"/>
  <c r="M89" i="2" s="1"/>
  <c r="K88" i="2"/>
  <c r="M88" i="2" s="1"/>
  <c r="K87" i="2"/>
  <c r="M87" i="2" s="1"/>
  <c r="O48" i="1" s="1"/>
  <c r="K86" i="2"/>
  <c r="M86" i="2" s="1"/>
  <c r="O47" i="1" s="1"/>
  <c r="K85" i="2"/>
  <c r="M85" i="2" s="1"/>
  <c r="O106" i="1" s="1"/>
  <c r="K84" i="2"/>
  <c r="M84" i="2" s="1"/>
  <c r="O105" i="1" s="1"/>
  <c r="K83" i="2"/>
  <c r="M83" i="2" s="1"/>
  <c r="P50" i="1" s="1"/>
  <c r="K82" i="2"/>
  <c r="M82" i="2" s="1"/>
  <c r="O90" i="1" s="1"/>
  <c r="K81" i="2"/>
  <c r="M81" i="2" s="1"/>
  <c r="O91" i="1" s="1"/>
  <c r="K80" i="2"/>
  <c r="M80" i="2" s="1"/>
  <c r="K79" i="2"/>
  <c r="M79" i="2" s="1"/>
  <c r="O89" i="1" s="1"/>
  <c r="K78" i="2"/>
  <c r="M78" i="2" s="1"/>
  <c r="P16" i="1" s="1"/>
  <c r="K77" i="2"/>
  <c r="M77" i="2" s="1"/>
  <c r="K76" i="2"/>
  <c r="M76" i="2" s="1"/>
  <c r="K75" i="2"/>
  <c r="M75" i="2" s="1"/>
  <c r="O32" i="1" s="1"/>
  <c r="K74" i="2"/>
  <c r="M74" i="2" s="1"/>
  <c r="K73" i="2"/>
  <c r="M73" i="2" s="1"/>
  <c r="K72" i="2"/>
  <c r="M72" i="2" s="1"/>
  <c r="O73" i="1" s="1"/>
  <c r="K71" i="2"/>
  <c r="M71" i="2" s="1"/>
  <c r="P29" i="1" s="1"/>
  <c r="K70" i="2"/>
  <c r="M70" i="2" s="1"/>
  <c r="O61" i="1" s="1"/>
  <c r="K69" i="2"/>
  <c r="M69" i="2" s="1"/>
  <c r="K68" i="2"/>
  <c r="M68" i="2" s="1"/>
  <c r="O140" i="1" s="1"/>
  <c r="K67" i="2"/>
  <c r="M67" i="2" s="1"/>
  <c r="O131" i="1" s="1"/>
  <c r="K66" i="2"/>
  <c r="M66" i="2" s="1"/>
  <c r="P12" i="1" s="1"/>
  <c r="K65" i="2"/>
  <c r="M65" i="2" s="1"/>
  <c r="O116" i="1" s="1"/>
  <c r="K64" i="2"/>
  <c r="M64" i="2" s="1"/>
  <c r="K63" i="2"/>
  <c r="M63" i="2" s="1"/>
  <c r="K62" i="2"/>
  <c r="M62" i="2" s="1"/>
  <c r="O135" i="1" s="1"/>
  <c r="K61" i="2"/>
  <c r="M61" i="2" s="1"/>
  <c r="O88" i="1" s="1"/>
  <c r="K60" i="2"/>
  <c r="M60" i="2" s="1"/>
  <c r="O87" i="1" s="1"/>
  <c r="K59" i="2"/>
  <c r="M59" i="2" s="1"/>
  <c r="K58" i="2"/>
  <c r="M58" i="2" s="1"/>
  <c r="P100" i="1" s="1"/>
  <c r="K57" i="2"/>
  <c r="M57" i="2" s="1"/>
  <c r="P60" i="1" s="1"/>
  <c r="K56" i="2"/>
  <c r="M56" i="2" s="1"/>
  <c r="K55" i="2"/>
  <c r="M55" i="2" s="1"/>
  <c r="K54" i="2"/>
  <c r="M54" i="2" s="1"/>
  <c r="O4" i="1" s="1"/>
  <c r="K53" i="2"/>
  <c r="M53" i="2" s="1"/>
  <c r="O18" i="1" s="1"/>
  <c r="K52" i="2"/>
  <c r="M52" i="2" s="1"/>
  <c r="O132" i="1" s="1"/>
  <c r="K51" i="2"/>
  <c r="M51" i="2" s="1"/>
  <c r="K50" i="2"/>
  <c r="M50" i="2" s="1"/>
  <c r="K49" i="2"/>
  <c r="M49" i="2" s="1"/>
  <c r="K48" i="2"/>
  <c r="M48" i="2" s="1"/>
  <c r="K47" i="2"/>
  <c r="M47" i="2" s="1"/>
  <c r="K46" i="2"/>
  <c r="M46" i="2" s="1"/>
  <c r="K45" i="2"/>
  <c r="M45" i="2" s="1"/>
  <c r="K44" i="2"/>
  <c r="M44" i="2" s="1"/>
  <c r="O19" i="1" s="1"/>
  <c r="K43" i="2"/>
  <c r="M43" i="2" s="1"/>
  <c r="K42" i="2"/>
  <c r="M42" i="2" s="1"/>
  <c r="K41" i="2"/>
  <c r="M41" i="2" s="1"/>
  <c r="K40" i="2"/>
  <c r="M40" i="2" s="1"/>
  <c r="K39" i="2"/>
  <c r="M39" i="2" s="1"/>
  <c r="K38" i="2"/>
  <c r="M38" i="2" s="1"/>
  <c r="K37" i="2"/>
  <c r="M37" i="2" s="1"/>
  <c r="K36" i="2"/>
  <c r="M36" i="2" s="1"/>
  <c r="K35" i="2"/>
  <c r="M35" i="2" s="1"/>
  <c r="K34" i="2"/>
  <c r="M34" i="2" s="1"/>
  <c r="K33" i="2"/>
  <c r="M33" i="2" s="1"/>
  <c r="K32" i="2"/>
  <c r="M32" i="2" s="1"/>
  <c r="O74" i="1" s="1"/>
  <c r="K31" i="2"/>
  <c r="M31" i="2" s="1"/>
  <c r="K30" i="2"/>
  <c r="M30" i="2" s="1"/>
  <c r="K29" i="2"/>
  <c r="M29" i="2" s="1"/>
  <c r="K28" i="2"/>
  <c r="M28" i="2" s="1"/>
  <c r="K27" i="2"/>
  <c r="M27" i="2" s="1"/>
  <c r="K26" i="2"/>
  <c r="M26" i="2" s="1"/>
  <c r="O3" i="1" s="1"/>
  <c r="K25" i="2"/>
  <c r="M25" i="2" s="1"/>
  <c r="O65" i="1" s="1"/>
  <c r="K24" i="2"/>
  <c r="M24" i="2" s="1"/>
  <c r="K23" i="2"/>
  <c r="M23" i="2" s="1"/>
  <c r="K22" i="2"/>
  <c r="M22" i="2" s="1"/>
  <c r="K21" i="2"/>
  <c r="M21" i="2" s="1"/>
  <c r="K20" i="2"/>
  <c r="M20" i="2" s="1"/>
  <c r="P44" i="1" s="1"/>
  <c r="K19" i="2"/>
  <c r="M19" i="2" s="1"/>
  <c r="O67" i="1" s="1"/>
  <c r="K18" i="2"/>
  <c r="M18" i="2" s="1"/>
  <c r="K17" i="2"/>
  <c r="M17" i="2" s="1"/>
  <c r="O137" i="1" s="1"/>
  <c r="K16" i="2"/>
  <c r="M16" i="2" s="1"/>
  <c r="K15" i="2"/>
  <c r="M15" i="2" s="1"/>
  <c r="K14" i="2"/>
  <c r="M14" i="2" s="1"/>
  <c r="O6" i="1" s="1"/>
  <c r="K13" i="2"/>
  <c r="M13" i="2" s="1"/>
  <c r="K12" i="2"/>
  <c r="M12" i="2" s="1"/>
  <c r="P123" i="1" s="1"/>
  <c r="K11" i="2"/>
  <c r="M11" i="2" s="1"/>
  <c r="K10" i="2"/>
  <c r="M10" i="2" s="1"/>
  <c r="K9" i="2"/>
  <c r="M9" i="2" s="1"/>
  <c r="K8" i="2"/>
  <c r="M8" i="2" s="1"/>
  <c r="O92" i="1" s="1"/>
  <c r="K7" i="2"/>
  <c r="M7" i="2" s="1"/>
  <c r="K6" i="2"/>
  <c r="M6" i="2" s="1"/>
  <c r="P42" i="1" s="1"/>
  <c r="K5" i="2"/>
  <c r="M5" i="2" s="1"/>
  <c r="K4" i="2"/>
  <c r="M4" i="2" s="1"/>
  <c r="O2" i="1" s="1"/>
  <c r="K3" i="2"/>
  <c r="M3" i="2" s="1"/>
  <c r="K2" i="2"/>
  <c r="M2" i="2" s="1"/>
  <c r="O17" i="1" s="1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O29" i="1" l="1"/>
  <c r="O45" i="1"/>
  <c r="O124" i="1"/>
  <c r="O108" i="1"/>
  <c r="T108" i="1" s="1"/>
  <c r="O76" i="1"/>
  <c r="O60" i="1"/>
  <c r="O44" i="1"/>
  <c r="O28" i="1"/>
  <c r="O12" i="1"/>
  <c r="P119" i="1"/>
  <c r="P103" i="1"/>
  <c r="P39" i="1"/>
  <c r="P23" i="1"/>
  <c r="P7" i="1"/>
  <c r="Q114" i="1"/>
  <c r="Q82" i="1"/>
  <c r="BG127" i="1"/>
  <c r="BG111" i="1"/>
  <c r="BG95" i="1"/>
  <c r="BG79" i="1"/>
  <c r="BG63" i="1"/>
  <c r="BG47" i="1"/>
  <c r="BG31" i="1"/>
  <c r="BG15" i="1"/>
  <c r="O107" i="1"/>
  <c r="O43" i="1"/>
  <c r="O27" i="1"/>
  <c r="O11" i="1"/>
  <c r="P102" i="1"/>
  <c r="P70" i="1"/>
  <c r="P38" i="1"/>
  <c r="P6" i="1"/>
  <c r="Q113" i="1"/>
  <c r="P104" i="1"/>
  <c r="O138" i="1"/>
  <c r="O122" i="1"/>
  <c r="Z122" i="1" s="1"/>
  <c r="O58" i="1"/>
  <c r="O42" i="1"/>
  <c r="O26" i="1"/>
  <c r="O10" i="1"/>
  <c r="P101" i="1"/>
  <c r="P85" i="1"/>
  <c r="P69" i="1"/>
  <c r="P53" i="1"/>
  <c r="P37" i="1"/>
  <c r="Q112" i="1"/>
  <c r="O121" i="1"/>
  <c r="O57" i="1"/>
  <c r="O41" i="1"/>
  <c r="O25" i="1"/>
  <c r="O9" i="1"/>
  <c r="P84" i="1"/>
  <c r="AF84" i="1" s="1"/>
  <c r="P68" i="1"/>
  <c r="P52" i="1"/>
  <c r="P36" i="1"/>
  <c r="P20" i="1"/>
  <c r="O120" i="1"/>
  <c r="P99" i="1"/>
  <c r="P67" i="1"/>
  <c r="O104" i="1"/>
  <c r="O8" i="1"/>
  <c r="P115" i="1"/>
  <c r="P51" i="1"/>
  <c r="O119" i="1"/>
  <c r="O103" i="1"/>
  <c r="O71" i="1"/>
  <c r="O55" i="1"/>
  <c r="O39" i="1"/>
  <c r="T39" i="1" s="1"/>
  <c r="O23" i="1"/>
  <c r="O7" i="1"/>
  <c r="P114" i="1"/>
  <c r="P98" i="1"/>
  <c r="P82" i="1"/>
  <c r="P34" i="1"/>
  <c r="P18" i="1"/>
  <c r="Q13" i="1"/>
  <c r="BF127" i="1"/>
  <c r="BI127" i="1" s="1"/>
  <c r="BF111" i="1"/>
  <c r="BI111" i="1" s="1"/>
  <c r="BF95" i="1"/>
  <c r="BF79" i="1"/>
  <c r="BF63" i="1"/>
  <c r="BF47" i="1"/>
  <c r="BF31" i="1"/>
  <c r="BI31" i="1" s="1"/>
  <c r="BF15" i="1"/>
  <c r="BI15" i="1" s="1"/>
  <c r="O85" i="1"/>
  <c r="O37" i="1"/>
  <c r="O5" i="1"/>
  <c r="P128" i="1"/>
  <c r="P80" i="1"/>
  <c r="P48" i="1"/>
  <c r="BG24" i="1"/>
  <c r="BG8" i="1"/>
  <c r="O100" i="1"/>
  <c r="O84" i="1"/>
  <c r="O68" i="1"/>
  <c r="O52" i="1"/>
  <c r="O36" i="1"/>
  <c r="O20" i="1"/>
  <c r="P127" i="1"/>
  <c r="P111" i="1"/>
  <c r="AI111" i="1" s="1"/>
  <c r="P31" i="1"/>
  <c r="P15" i="1"/>
  <c r="BG135" i="1"/>
  <c r="BG119" i="1"/>
  <c r="BG103" i="1"/>
  <c r="BG87" i="1"/>
  <c r="BG71" i="1"/>
  <c r="BG55" i="1"/>
  <c r="BG39" i="1"/>
  <c r="BG23" i="1"/>
  <c r="BG7" i="1"/>
  <c r="O115" i="1"/>
  <c r="O99" i="1"/>
  <c r="O83" i="1"/>
  <c r="O51" i="1"/>
  <c r="O35" i="1"/>
  <c r="W35" i="1" s="1"/>
  <c r="P126" i="1"/>
  <c r="P110" i="1"/>
  <c r="P94" i="1"/>
  <c r="P46" i="1"/>
  <c r="P113" i="1"/>
  <c r="P33" i="1"/>
  <c r="O114" i="1"/>
  <c r="O82" i="1"/>
  <c r="O66" i="1"/>
  <c r="O50" i="1"/>
  <c r="O34" i="1"/>
  <c r="P125" i="1"/>
  <c r="P109" i="1"/>
  <c r="P45" i="1"/>
  <c r="P13" i="1"/>
  <c r="O113" i="1"/>
  <c r="Z113" i="1" s="1"/>
  <c r="O97" i="1"/>
  <c r="O81" i="1"/>
  <c r="O49" i="1"/>
  <c r="O33" i="1"/>
  <c r="P124" i="1"/>
  <c r="P108" i="1"/>
  <c r="O112" i="1"/>
  <c r="O16" i="1"/>
  <c r="P107" i="1"/>
  <c r="O111" i="1"/>
  <c r="O95" i="1"/>
  <c r="P106" i="1"/>
  <c r="BF135" i="1"/>
  <c r="BF119" i="1"/>
  <c r="BI119" i="1" s="1"/>
  <c r="BF103" i="1"/>
  <c r="BI103" i="1" s="1"/>
  <c r="BF87" i="1"/>
  <c r="BF71" i="1"/>
  <c r="BF55" i="1"/>
  <c r="BF39" i="1"/>
  <c r="BI39" i="1" s="1"/>
  <c r="BF23" i="1"/>
  <c r="BI23" i="1" s="1"/>
  <c r="BF7" i="1"/>
  <c r="BI7" i="1" s="1"/>
  <c r="BE132" i="1"/>
  <c r="BE116" i="1"/>
  <c r="BE100" i="1"/>
  <c r="BE84" i="1"/>
  <c r="BE68" i="1"/>
  <c r="BE52" i="1"/>
  <c r="BE36" i="1"/>
  <c r="BE20" i="1"/>
  <c r="BE4" i="1"/>
  <c r="BE129" i="1"/>
  <c r="BJ129" i="1" s="1"/>
  <c r="BE113" i="1"/>
  <c r="BE97" i="1"/>
  <c r="BE81" i="1"/>
  <c r="BE65" i="1"/>
  <c r="BE49" i="1"/>
  <c r="BE33" i="1"/>
  <c r="BG97" i="1"/>
  <c r="BG81" i="1"/>
  <c r="BE138" i="1"/>
  <c r="BE122" i="1"/>
  <c r="BE106" i="1"/>
  <c r="BE90" i="1"/>
  <c r="BH130" i="1"/>
  <c r="BH114" i="1"/>
  <c r="BH82" i="1"/>
  <c r="BH2" i="1"/>
  <c r="BH112" i="1"/>
  <c r="BH64" i="1"/>
  <c r="BH32" i="1"/>
  <c r="BH95" i="1"/>
  <c r="BI95" i="1" s="1"/>
  <c r="BH79" i="1"/>
  <c r="BH63" i="1"/>
  <c r="BI63" i="1" s="1"/>
  <c r="BH47" i="1"/>
  <c r="BH131" i="1"/>
  <c r="BH83" i="1"/>
  <c r="BH19" i="1"/>
  <c r="BH3" i="1"/>
  <c r="BH66" i="1"/>
  <c r="BH113" i="1"/>
  <c r="BH90" i="1"/>
  <c r="BH74" i="1"/>
  <c r="BH10" i="1"/>
  <c r="BH137" i="1"/>
  <c r="BH89" i="1"/>
  <c r="BH73" i="1"/>
  <c r="BH57" i="1"/>
  <c r="BH136" i="1"/>
  <c r="BH88" i="1"/>
  <c r="BH72" i="1"/>
  <c r="BH56" i="1"/>
  <c r="BH24" i="1"/>
  <c r="BH135" i="1"/>
  <c r="BH87" i="1"/>
  <c r="BH71" i="1"/>
  <c r="BI71" i="1" s="1"/>
  <c r="BH55" i="1"/>
  <c r="BI55" i="1" s="1"/>
  <c r="BG128" i="1"/>
  <c r="BG112" i="1"/>
  <c r="BG96" i="1"/>
  <c r="BG80" i="1"/>
  <c r="BG64" i="1"/>
  <c r="BG48" i="1"/>
  <c r="BG32" i="1"/>
  <c r="BG16" i="1"/>
  <c r="BH134" i="1"/>
  <c r="BH118" i="1"/>
  <c r="BH86" i="1"/>
  <c r="BH54" i="1"/>
  <c r="BH22" i="1"/>
  <c r="BH133" i="1"/>
  <c r="BH117" i="1"/>
  <c r="BH21" i="1"/>
  <c r="BH5" i="1"/>
  <c r="BH132" i="1"/>
  <c r="BH116" i="1"/>
  <c r="BH4" i="1"/>
  <c r="BG129" i="1"/>
  <c r="BG113" i="1"/>
  <c r="BG65" i="1"/>
  <c r="BG49" i="1"/>
  <c r="BG33" i="1"/>
  <c r="BG17" i="1"/>
  <c r="BE136" i="1"/>
  <c r="BE135" i="1"/>
  <c r="BE119" i="1"/>
  <c r="BE103" i="1"/>
  <c r="BE87" i="1"/>
  <c r="BE71" i="1"/>
  <c r="BJ71" i="1" s="1"/>
  <c r="BE55" i="1"/>
  <c r="BJ55" i="1" s="1"/>
  <c r="BE39" i="1"/>
  <c r="BE23" i="1"/>
  <c r="BJ23" i="1" s="1"/>
  <c r="BE7" i="1"/>
  <c r="BJ7" i="1" s="1"/>
  <c r="BE131" i="1"/>
  <c r="BE115" i="1"/>
  <c r="BJ115" i="1" s="1"/>
  <c r="BE99" i="1"/>
  <c r="BE83" i="1"/>
  <c r="BE67" i="1"/>
  <c r="BE51" i="1"/>
  <c r="BE35" i="1"/>
  <c r="BE19" i="1"/>
  <c r="BE3" i="1"/>
  <c r="BE17" i="1"/>
  <c r="BG137" i="1"/>
  <c r="BG121" i="1"/>
  <c r="BG105" i="1"/>
  <c r="BG89" i="1"/>
  <c r="BG73" i="1"/>
  <c r="BG57" i="1"/>
  <c r="BG41" i="1"/>
  <c r="BG25" i="1"/>
  <c r="BG9" i="1"/>
  <c r="BG134" i="1"/>
  <c r="BG118" i="1"/>
  <c r="BG102" i="1"/>
  <c r="BG86" i="1"/>
  <c r="BG70" i="1"/>
  <c r="BG54" i="1"/>
  <c r="BG38" i="1"/>
  <c r="BG22" i="1"/>
  <c r="BG6" i="1"/>
  <c r="BG133" i="1"/>
  <c r="BG117" i="1"/>
  <c r="BG101" i="1"/>
  <c r="BG85" i="1"/>
  <c r="BG69" i="1"/>
  <c r="BG53" i="1"/>
  <c r="BG37" i="1"/>
  <c r="BG21" i="1"/>
  <c r="BG5" i="1"/>
  <c r="BG132" i="1"/>
  <c r="BG116" i="1"/>
  <c r="BG100" i="1"/>
  <c r="BG84" i="1"/>
  <c r="BG68" i="1"/>
  <c r="BG52" i="1"/>
  <c r="BG36" i="1"/>
  <c r="BG20" i="1"/>
  <c r="BG4" i="1"/>
  <c r="BG131" i="1"/>
  <c r="BG115" i="1"/>
  <c r="BG99" i="1"/>
  <c r="BG83" i="1"/>
  <c r="BG67" i="1"/>
  <c r="BG51" i="1"/>
  <c r="BG35" i="1"/>
  <c r="BG19" i="1"/>
  <c r="BG3" i="1"/>
  <c r="BG130" i="1"/>
  <c r="BG114" i="1"/>
  <c r="BG98" i="1"/>
  <c r="BG82" i="1"/>
  <c r="BG66" i="1"/>
  <c r="BG50" i="1"/>
  <c r="BG34" i="1"/>
  <c r="BG18" i="1"/>
  <c r="BG2" i="1"/>
  <c r="BE120" i="1"/>
  <c r="BE104" i="1"/>
  <c r="BJ104" i="1" s="1"/>
  <c r="BE88" i="1"/>
  <c r="BJ88" i="1" s="1"/>
  <c r="BE72" i="1"/>
  <c r="BE56" i="1"/>
  <c r="BE40" i="1"/>
  <c r="BE24" i="1"/>
  <c r="BE8" i="1"/>
  <c r="BG125" i="1"/>
  <c r="BI125" i="1" s="1"/>
  <c r="BG109" i="1"/>
  <c r="BI109" i="1" s="1"/>
  <c r="BG93" i="1"/>
  <c r="BI93" i="1" s="1"/>
  <c r="BG77" i="1"/>
  <c r="BI77" i="1" s="1"/>
  <c r="BG61" i="1"/>
  <c r="BI61" i="1" s="1"/>
  <c r="BG45" i="1"/>
  <c r="BI45" i="1" s="1"/>
  <c r="BG29" i="1"/>
  <c r="BI29" i="1" s="1"/>
  <c r="BG13" i="1"/>
  <c r="BI13" i="1" s="1"/>
  <c r="BG140" i="1"/>
  <c r="BG124" i="1"/>
  <c r="BG108" i="1"/>
  <c r="BG92" i="1"/>
  <c r="BG76" i="1"/>
  <c r="BG60" i="1"/>
  <c r="BG44" i="1"/>
  <c r="BG28" i="1"/>
  <c r="BG12" i="1"/>
  <c r="BG139" i="1"/>
  <c r="BG123" i="1"/>
  <c r="BG107" i="1"/>
  <c r="BG91" i="1"/>
  <c r="BG75" i="1"/>
  <c r="BG59" i="1"/>
  <c r="BG43" i="1"/>
  <c r="BG27" i="1"/>
  <c r="BG11" i="1"/>
  <c r="BE130" i="1"/>
  <c r="BE114" i="1"/>
  <c r="BE98" i="1"/>
  <c r="BE82" i="1"/>
  <c r="BE66" i="1"/>
  <c r="BE50" i="1"/>
  <c r="BE34" i="1"/>
  <c r="BE18" i="1"/>
  <c r="BE2" i="1"/>
  <c r="BG138" i="1"/>
  <c r="BG122" i="1"/>
  <c r="BG106" i="1"/>
  <c r="BG90" i="1"/>
  <c r="BG74" i="1"/>
  <c r="BG58" i="1"/>
  <c r="BG42" i="1"/>
  <c r="BG26" i="1"/>
  <c r="BG10" i="1"/>
  <c r="BE125" i="1"/>
  <c r="BE109" i="1"/>
  <c r="BJ109" i="1" s="1"/>
  <c r="BE93" i="1"/>
  <c r="BE77" i="1"/>
  <c r="BE61" i="1"/>
  <c r="BE45" i="1"/>
  <c r="BF129" i="1"/>
  <c r="BI129" i="1" s="1"/>
  <c r="BF113" i="1"/>
  <c r="BF97" i="1"/>
  <c r="BI97" i="1" s="1"/>
  <c r="BF81" i="1"/>
  <c r="BI81" i="1" s="1"/>
  <c r="BF65" i="1"/>
  <c r="BF49" i="1"/>
  <c r="BI49" i="1" s="1"/>
  <c r="BF33" i="1"/>
  <c r="BI33" i="1" s="1"/>
  <c r="BF17" i="1"/>
  <c r="BI17" i="1" s="1"/>
  <c r="BF137" i="1"/>
  <c r="BF121" i="1"/>
  <c r="BF105" i="1"/>
  <c r="BF89" i="1"/>
  <c r="BF73" i="1"/>
  <c r="BF57" i="1"/>
  <c r="BF41" i="1"/>
  <c r="BI41" i="1" s="1"/>
  <c r="BF25" i="1"/>
  <c r="BF9" i="1"/>
  <c r="BE128" i="1"/>
  <c r="BE96" i="1"/>
  <c r="BE80" i="1"/>
  <c r="BE64" i="1"/>
  <c r="BJ64" i="1" s="1"/>
  <c r="BE48" i="1"/>
  <c r="BE32" i="1"/>
  <c r="BE16" i="1"/>
  <c r="BJ16" i="1" s="1"/>
  <c r="BF136" i="1"/>
  <c r="BI136" i="1" s="1"/>
  <c r="BF120" i="1"/>
  <c r="BI120" i="1" s="1"/>
  <c r="BF104" i="1"/>
  <c r="BI104" i="1" s="1"/>
  <c r="BF88" i="1"/>
  <c r="BI88" i="1" s="1"/>
  <c r="BF72" i="1"/>
  <c r="BI72" i="1" s="1"/>
  <c r="BF56" i="1"/>
  <c r="BI56" i="1" s="1"/>
  <c r="BF40" i="1"/>
  <c r="BI40" i="1" s="1"/>
  <c r="BF24" i="1"/>
  <c r="BI24" i="1" s="1"/>
  <c r="BF8" i="1"/>
  <c r="BI8" i="1" s="1"/>
  <c r="BE112" i="1"/>
  <c r="BE111" i="1"/>
  <c r="BJ111" i="1" s="1"/>
  <c r="BE95" i="1"/>
  <c r="BJ95" i="1" s="1"/>
  <c r="BF134" i="1"/>
  <c r="BI134" i="1" s="1"/>
  <c r="BF118" i="1"/>
  <c r="BI118" i="1" s="1"/>
  <c r="BF102" i="1"/>
  <c r="BF86" i="1"/>
  <c r="BI86" i="1" s="1"/>
  <c r="BF70" i="1"/>
  <c r="BI70" i="1" s="1"/>
  <c r="BF54" i="1"/>
  <c r="BI54" i="1" s="1"/>
  <c r="BF38" i="1"/>
  <c r="BF22" i="1"/>
  <c r="BF6" i="1"/>
  <c r="BI6" i="1" s="1"/>
  <c r="BF133" i="1"/>
  <c r="BF117" i="1"/>
  <c r="BF101" i="1"/>
  <c r="BF85" i="1"/>
  <c r="BI85" i="1" s="1"/>
  <c r="BJ85" i="1" s="1"/>
  <c r="BF69" i="1"/>
  <c r="BI69" i="1" s="1"/>
  <c r="BJ69" i="1" s="1"/>
  <c r="BF53" i="1"/>
  <c r="BF37" i="1"/>
  <c r="BF21" i="1"/>
  <c r="BI21" i="1" s="1"/>
  <c r="BJ21" i="1" s="1"/>
  <c r="BF5" i="1"/>
  <c r="BI5" i="1" s="1"/>
  <c r="BJ5" i="1" s="1"/>
  <c r="BF132" i="1"/>
  <c r="BF116" i="1"/>
  <c r="BF100" i="1"/>
  <c r="BI100" i="1" s="1"/>
  <c r="BF84" i="1"/>
  <c r="BI84" i="1" s="1"/>
  <c r="BF68" i="1"/>
  <c r="BF52" i="1"/>
  <c r="BF36" i="1"/>
  <c r="BI36" i="1" s="1"/>
  <c r="BF20" i="1"/>
  <c r="BF4" i="1"/>
  <c r="BF131" i="1"/>
  <c r="BF115" i="1"/>
  <c r="BI115" i="1" s="1"/>
  <c r="BF99" i="1"/>
  <c r="BI99" i="1" s="1"/>
  <c r="BF83" i="1"/>
  <c r="BF67" i="1"/>
  <c r="BF51" i="1"/>
  <c r="BI51" i="1" s="1"/>
  <c r="BF35" i="1"/>
  <c r="BI35" i="1" s="1"/>
  <c r="BF19" i="1"/>
  <c r="BF3" i="1"/>
  <c r="BF130" i="1"/>
  <c r="BI130" i="1" s="1"/>
  <c r="BF114" i="1"/>
  <c r="BI114" i="1" s="1"/>
  <c r="BF98" i="1"/>
  <c r="BF82" i="1"/>
  <c r="BF66" i="1"/>
  <c r="BF50" i="1"/>
  <c r="BF34" i="1"/>
  <c r="BF18" i="1"/>
  <c r="BF2" i="1"/>
  <c r="BF128" i="1"/>
  <c r="BI128" i="1" s="1"/>
  <c r="BF112" i="1"/>
  <c r="BF96" i="1"/>
  <c r="BF80" i="1"/>
  <c r="BI80" i="1" s="1"/>
  <c r="BF64" i="1"/>
  <c r="BI64" i="1" s="1"/>
  <c r="BF48" i="1"/>
  <c r="BF32" i="1"/>
  <c r="BF16" i="1"/>
  <c r="BI16" i="1" s="1"/>
  <c r="BF140" i="1"/>
  <c r="BI140" i="1" s="1"/>
  <c r="BF124" i="1"/>
  <c r="BF108" i="1"/>
  <c r="BF92" i="1"/>
  <c r="BI92" i="1" s="1"/>
  <c r="BF76" i="1"/>
  <c r="BI76" i="1" s="1"/>
  <c r="BF60" i="1"/>
  <c r="BF44" i="1"/>
  <c r="BI44" i="1" s="1"/>
  <c r="BF28" i="1"/>
  <c r="BI28" i="1" s="1"/>
  <c r="BF12" i="1"/>
  <c r="BI12" i="1" s="1"/>
  <c r="BF139" i="1"/>
  <c r="BF123" i="1"/>
  <c r="BF107" i="1"/>
  <c r="BI107" i="1" s="1"/>
  <c r="BF91" i="1"/>
  <c r="BI91" i="1" s="1"/>
  <c r="BF75" i="1"/>
  <c r="BF59" i="1"/>
  <c r="BF43" i="1"/>
  <c r="BI43" i="1" s="1"/>
  <c r="BF27" i="1"/>
  <c r="BI27" i="1" s="1"/>
  <c r="BF11" i="1"/>
  <c r="BF138" i="1"/>
  <c r="BF122" i="1"/>
  <c r="BI122" i="1" s="1"/>
  <c r="BF106" i="1"/>
  <c r="BF90" i="1"/>
  <c r="BF74" i="1"/>
  <c r="BF58" i="1"/>
  <c r="BI58" i="1" s="1"/>
  <c r="BF42" i="1"/>
  <c r="BF26" i="1"/>
  <c r="BF10" i="1"/>
  <c r="BE127" i="1"/>
  <c r="BJ127" i="1" s="1"/>
  <c r="BE79" i="1"/>
  <c r="BE63" i="1"/>
  <c r="BJ63" i="1" s="1"/>
  <c r="BE47" i="1"/>
  <c r="BE31" i="1"/>
  <c r="BJ31" i="1" s="1"/>
  <c r="BE15" i="1"/>
  <c r="BE29" i="1"/>
  <c r="BE13" i="1"/>
  <c r="BJ13" i="1" s="1"/>
  <c r="BE140" i="1"/>
  <c r="BJ140" i="1" s="1"/>
  <c r="BE124" i="1"/>
  <c r="BE108" i="1"/>
  <c r="BE92" i="1"/>
  <c r="BE76" i="1"/>
  <c r="BJ76" i="1" s="1"/>
  <c r="BE60" i="1"/>
  <c r="BE44" i="1"/>
  <c r="BJ44" i="1" s="1"/>
  <c r="BE28" i="1"/>
  <c r="BJ28" i="1" s="1"/>
  <c r="BE12" i="1"/>
  <c r="BJ12" i="1" s="1"/>
  <c r="BE139" i="1"/>
  <c r="BE123" i="1"/>
  <c r="BE107" i="1"/>
  <c r="BE91" i="1"/>
  <c r="BJ91" i="1" s="1"/>
  <c r="BE75" i="1"/>
  <c r="BE59" i="1"/>
  <c r="BE43" i="1"/>
  <c r="BE27" i="1"/>
  <c r="BJ27" i="1" s="1"/>
  <c r="BE11" i="1"/>
  <c r="BE74" i="1"/>
  <c r="BE58" i="1"/>
  <c r="BE42" i="1"/>
  <c r="BE26" i="1"/>
  <c r="BE10" i="1"/>
  <c r="BE137" i="1"/>
  <c r="BE121" i="1"/>
  <c r="BE105" i="1"/>
  <c r="BE89" i="1"/>
  <c r="BE73" i="1"/>
  <c r="BE57" i="1"/>
  <c r="BE41" i="1"/>
  <c r="BJ41" i="1" s="1"/>
  <c r="BE25" i="1"/>
  <c r="BE9" i="1"/>
  <c r="BE134" i="1"/>
  <c r="BE118" i="1"/>
  <c r="BJ118" i="1" s="1"/>
  <c r="BE102" i="1"/>
  <c r="BE86" i="1"/>
  <c r="BE70" i="1"/>
  <c r="BE54" i="1"/>
  <c r="BJ54" i="1" s="1"/>
  <c r="BE38" i="1"/>
  <c r="BE22" i="1"/>
  <c r="BE6" i="1"/>
  <c r="BJ6" i="1" s="1"/>
  <c r="AI77" i="1"/>
  <c r="AI61" i="1"/>
  <c r="AI45" i="1"/>
  <c r="AI29" i="1"/>
  <c r="AI133" i="1"/>
  <c r="AI117" i="1"/>
  <c r="AI101" i="1"/>
  <c r="AI85" i="1"/>
  <c r="AI69" i="1"/>
  <c r="AI53" i="1"/>
  <c r="AI37" i="1"/>
  <c r="AI21" i="1"/>
  <c r="AI5" i="1"/>
  <c r="AI2" i="1"/>
  <c r="T9" i="1"/>
  <c r="T97" i="1"/>
  <c r="T49" i="1"/>
  <c r="T81" i="1"/>
  <c r="U20" i="1"/>
  <c r="AI46" i="1"/>
  <c r="U4" i="1"/>
  <c r="U116" i="1"/>
  <c r="U52" i="1"/>
  <c r="U100" i="1"/>
  <c r="U84" i="1"/>
  <c r="U36" i="1"/>
  <c r="U132" i="1"/>
  <c r="U68" i="1"/>
  <c r="AI125" i="1"/>
  <c r="AI109" i="1"/>
  <c r="AI73" i="1"/>
  <c r="AD137" i="1"/>
  <c r="AD89" i="1"/>
  <c r="AD121" i="1"/>
  <c r="AD105" i="1"/>
  <c r="AI13" i="1"/>
  <c r="AI136" i="1"/>
  <c r="AI128" i="1"/>
  <c r="AI112" i="1"/>
  <c r="AI96" i="1"/>
  <c r="AI80" i="1"/>
  <c r="AI64" i="1"/>
  <c r="AI48" i="1"/>
  <c r="AI32" i="1"/>
  <c r="AI51" i="1"/>
  <c r="AI115" i="1"/>
  <c r="AI67" i="1"/>
  <c r="AI99" i="1"/>
  <c r="AI127" i="1"/>
  <c r="AI95" i="1"/>
  <c r="AI79" i="1"/>
  <c r="AI131" i="1"/>
  <c r="AI83" i="1"/>
  <c r="AI57" i="1"/>
  <c r="AI41" i="1"/>
  <c r="AI25" i="1"/>
  <c r="AI9" i="1"/>
  <c r="AI120" i="1"/>
  <c r="AI104" i="1"/>
  <c r="AI88" i="1"/>
  <c r="AI63" i="1"/>
  <c r="AI126" i="1"/>
  <c r="AI72" i="1"/>
  <c r="AI119" i="1"/>
  <c r="AI47" i="1"/>
  <c r="AI31" i="1"/>
  <c r="AI94" i="1"/>
  <c r="AI56" i="1"/>
  <c r="AI40" i="1"/>
  <c r="AI103" i="1"/>
  <c r="AI15" i="1"/>
  <c r="AI87" i="1"/>
  <c r="U134" i="1"/>
  <c r="U118" i="1"/>
  <c r="U102" i="1"/>
  <c r="U86" i="1"/>
  <c r="U70" i="1"/>
  <c r="U54" i="1"/>
  <c r="U38" i="1"/>
  <c r="U22" i="1"/>
  <c r="U6" i="1"/>
  <c r="AI16" i="1"/>
  <c r="AI93" i="1"/>
  <c r="AI110" i="1"/>
  <c r="AI78" i="1"/>
  <c r="AI62" i="1"/>
  <c r="AI14" i="1"/>
  <c r="AG138" i="1"/>
  <c r="AD122" i="1"/>
  <c r="AD106" i="1"/>
  <c r="AD90" i="1"/>
  <c r="AD74" i="1"/>
  <c r="AD58" i="1"/>
  <c r="AI19" i="1"/>
  <c r="AI3" i="1"/>
  <c r="AI76" i="1"/>
  <c r="AI44" i="1"/>
  <c r="AI28" i="1"/>
  <c r="AI12" i="1"/>
  <c r="AI135" i="1"/>
  <c r="AI139" i="1"/>
  <c r="AI107" i="1"/>
  <c r="AI91" i="1"/>
  <c r="AI75" i="1"/>
  <c r="AI59" i="1"/>
  <c r="AI43" i="1"/>
  <c r="AI27" i="1"/>
  <c r="AC11" i="1"/>
  <c r="AI134" i="1"/>
  <c r="AI118" i="1"/>
  <c r="AI102" i="1"/>
  <c r="AI86" i="1"/>
  <c r="AI70" i="1"/>
  <c r="AI54" i="1"/>
  <c r="AI38" i="1"/>
  <c r="AI22" i="1"/>
  <c r="AI6" i="1"/>
  <c r="AI129" i="1"/>
  <c r="AI97" i="1"/>
  <c r="AI81" i="1"/>
  <c r="AI65" i="1"/>
  <c r="AI49" i="1"/>
  <c r="AI33" i="1"/>
  <c r="AI17" i="1"/>
  <c r="AI60" i="1"/>
  <c r="AI123" i="1"/>
  <c r="AD42" i="1"/>
  <c r="AD26" i="1"/>
  <c r="AD10" i="1"/>
  <c r="U140" i="1"/>
  <c r="AI24" i="1"/>
  <c r="AI8" i="1"/>
  <c r="AI71" i="1"/>
  <c r="AI55" i="1"/>
  <c r="AI23" i="1"/>
  <c r="AI7" i="1"/>
  <c r="U124" i="1"/>
  <c r="AI92" i="1"/>
  <c r="AI30" i="1"/>
  <c r="T129" i="1"/>
  <c r="AA98" i="1"/>
  <c r="AA50" i="1"/>
  <c r="AA18" i="1"/>
  <c r="AI11" i="1"/>
  <c r="AA130" i="1"/>
  <c r="AA66" i="1"/>
  <c r="AA34" i="1"/>
  <c r="AI140" i="1"/>
  <c r="AI124" i="1"/>
  <c r="T65" i="1"/>
  <c r="U129" i="1"/>
  <c r="U113" i="1"/>
  <c r="U97" i="1"/>
  <c r="U81" i="1"/>
  <c r="U65" i="1"/>
  <c r="U49" i="1"/>
  <c r="V49" i="1" s="1"/>
  <c r="U33" i="1"/>
  <c r="U17" i="1"/>
  <c r="AI26" i="1"/>
  <c r="AI10" i="1"/>
  <c r="AA82" i="1"/>
  <c r="AI138" i="1"/>
  <c r="AI90" i="1"/>
  <c r="AI74" i="1"/>
  <c r="AI58" i="1"/>
  <c r="AI42" i="1"/>
  <c r="AA114" i="1"/>
  <c r="AI106" i="1"/>
  <c r="AI105" i="1"/>
  <c r="AI89" i="1"/>
  <c r="AI121" i="1"/>
  <c r="AC27" i="1"/>
  <c r="T33" i="1"/>
  <c r="AI137" i="1"/>
  <c r="T17" i="1"/>
  <c r="U108" i="1"/>
  <c r="U92" i="1"/>
  <c r="AI20" i="1"/>
  <c r="AI4" i="1"/>
  <c r="AI132" i="1"/>
  <c r="AI116" i="1"/>
  <c r="AI100" i="1"/>
  <c r="AI68" i="1"/>
  <c r="AI52" i="1"/>
  <c r="AI36" i="1"/>
  <c r="AI18" i="1"/>
  <c r="AI114" i="1"/>
  <c r="AI82" i="1"/>
  <c r="AI66" i="1"/>
  <c r="AI50" i="1"/>
  <c r="AI34" i="1"/>
  <c r="AI130" i="1"/>
  <c r="AI98" i="1"/>
  <c r="AA131" i="1"/>
  <c r="AA115" i="1"/>
  <c r="AA99" i="1"/>
  <c r="AR99" i="1" s="1"/>
  <c r="AA128" i="1"/>
  <c r="AA112" i="1"/>
  <c r="AR112" i="1" s="1"/>
  <c r="AA96" i="1"/>
  <c r="AR96" i="1" s="1"/>
  <c r="AA80" i="1"/>
  <c r="AR80" i="1" s="1"/>
  <c r="AG127" i="1"/>
  <c r="AG111" i="1"/>
  <c r="AG95" i="1"/>
  <c r="AG79" i="1"/>
  <c r="AG63" i="1"/>
  <c r="AG47" i="1"/>
  <c r="AG31" i="1"/>
  <c r="AG15" i="1"/>
  <c r="AD73" i="1"/>
  <c r="AD57" i="1"/>
  <c r="AD41" i="1"/>
  <c r="AD25" i="1"/>
  <c r="AA64" i="1"/>
  <c r="AA48" i="1"/>
  <c r="AA32" i="1"/>
  <c r="AD9" i="1"/>
  <c r="X139" i="1"/>
  <c r="X123" i="1"/>
  <c r="X107" i="1"/>
  <c r="X91" i="1"/>
  <c r="X75" i="1"/>
  <c r="X59" i="1"/>
  <c r="X43" i="1"/>
  <c r="X27" i="1"/>
  <c r="X11" i="1"/>
  <c r="W127" i="1"/>
  <c r="AD136" i="1"/>
  <c r="AD120" i="1"/>
  <c r="AD104" i="1"/>
  <c r="AD88" i="1"/>
  <c r="AD72" i="1"/>
  <c r="AD56" i="1"/>
  <c r="AD40" i="1"/>
  <c r="AD24" i="1"/>
  <c r="AD8" i="1"/>
  <c r="Z138" i="1"/>
  <c r="AA83" i="1"/>
  <c r="AA67" i="1"/>
  <c r="AR67" i="1" s="1"/>
  <c r="AA51" i="1"/>
  <c r="AA35" i="1"/>
  <c r="AA19" i="1"/>
  <c r="AR19" i="1" s="1"/>
  <c r="AA3" i="1"/>
  <c r="AF135" i="1"/>
  <c r="AA16" i="1"/>
  <c r="Z117" i="1"/>
  <c r="Z101" i="1"/>
  <c r="Z85" i="1"/>
  <c r="AQ85" i="1" s="1"/>
  <c r="Z37" i="1"/>
  <c r="Z21" i="1"/>
  <c r="Z5" i="1"/>
  <c r="AQ5" i="1" s="1"/>
  <c r="Z133" i="1"/>
  <c r="AQ133" i="1" s="1"/>
  <c r="AG126" i="1"/>
  <c r="AG110" i="1"/>
  <c r="AG94" i="1"/>
  <c r="AG78" i="1"/>
  <c r="AG62" i="1"/>
  <c r="AG46" i="1"/>
  <c r="AG30" i="1"/>
  <c r="AG14" i="1"/>
  <c r="AC107" i="1"/>
  <c r="X125" i="1"/>
  <c r="X109" i="1"/>
  <c r="X93" i="1"/>
  <c r="X77" i="1"/>
  <c r="AO77" i="1" s="1"/>
  <c r="X61" i="1"/>
  <c r="AO61" i="1" s="1"/>
  <c r="X45" i="1"/>
  <c r="X29" i="1"/>
  <c r="X13" i="1"/>
  <c r="AF131" i="1"/>
  <c r="AF115" i="1"/>
  <c r="AF99" i="1"/>
  <c r="AF83" i="1"/>
  <c r="AF67" i="1"/>
  <c r="AF51" i="1"/>
  <c r="AF19" i="1"/>
  <c r="AF3" i="1"/>
  <c r="AD54" i="1"/>
  <c r="AG129" i="1"/>
  <c r="AG113" i="1"/>
  <c r="AG97" i="1"/>
  <c r="AG81" i="1"/>
  <c r="AG65" i="1"/>
  <c r="AG49" i="1"/>
  <c r="AG33" i="1"/>
  <c r="AG17" i="1"/>
  <c r="U76" i="1"/>
  <c r="U60" i="1"/>
  <c r="U44" i="1"/>
  <c r="U28" i="1"/>
  <c r="U12" i="1"/>
  <c r="AF130" i="1"/>
  <c r="AF114" i="1"/>
  <c r="AF98" i="1"/>
  <c r="AF82" i="1"/>
  <c r="AF66" i="1"/>
  <c r="AF50" i="1"/>
  <c r="AF34" i="1"/>
  <c r="AF18" i="1"/>
  <c r="AF2" i="1"/>
  <c r="AD38" i="1"/>
  <c r="AG128" i="1"/>
  <c r="AG112" i="1"/>
  <c r="AG96" i="1"/>
  <c r="AG80" i="1"/>
  <c r="AG64" i="1"/>
  <c r="AG48" i="1"/>
  <c r="AG32" i="1"/>
  <c r="AG16" i="1"/>
  <c r="W129" i="1"/>
  <c r="AN129" i="1" s="1"/>
  <c r="W97" i="1"/>
  <c r="W81" i="1"/>
  <c r="W65" i="1"/>
  <c r="W49" i="1"/>
  <c r="W33" i="1"/>
  <c r="W17" i="1"/>
  <c r="AN17" i="1" s="1"/>
  <c r="AD22" i="1"/>
  <c r="W128" i="1"/>
  <c r="W112" i="1"/>
  <c r="AN112" i="1" s="1"/>
  <c r="W96" i="1"/>
  <c r="AN96" i="1" s="1"/>
  <c r="W80" i="1"/>
  <c r="AN80" i="1" s="1"/>
  <c r="W64" i="1"/>
  <c r="W48" i="1"/>
  <c r="W32" i="1"/>
  <c r="W16" i="1"/>
  <c r="AD6" i="1"/>
  <c r="AC127" i="1"/>
  <c r="AC95" i="1"/>
  <c r="AC79" i="1"/>
  <c r="AC63" i="1"/>
  <c r="AC47" i="1"/>
  <c r="AC31" i="1"/>
  <c r="AC15" i="1"/>
  <c r="W95" i="1"/>
  <c r="AF33" i="1"/>
  <c r="AG125" i="1"/>
  <c r="AG109" i="1"/>
  <c r="AG93" i="1"/>
  <c r="AG77" i="1"/>
  <c r="AG61" i="1"/>
  <c r="AG45" i="1"/>
  <c r="AG29" i="1"/>
  <c r="AG13" i="1"/>
  <c r="AC126" i="1"/>
  <c r="AC110" i="1"/>
  <c r="AC94" i="1"/>
  <c r="AC78" i="1"/>
  <c r="AC62" i="1"/>
  <c r="AC46" i="1"/>
  <c r="AC30" i="1"/>
  <c r="AC14" i="1"/>
  <c r="W79" i="1"/>
  <c r="AG140" i="1"/>
  <c r="AG124" i="1"/>
  <c r="AG108" i="1"/>
  <c r="AG92" i="1"/>
  <c r="AG76" i="1"/>
  <c r="AG60" i="1"/>
  <c r="AG44" i="1"/>
  <c r="AG28" i="1"/>
  <c r="AG12" i="1"/>
  <c r="U135" i="1"/>
  <c r="AL135" i="1" s="1"/>
  <c r="U119" i="1"/>
  <c r="U103" i="1"/>
  <c r="U87" i="1"/>
  <c r="U71" i="1"/>
  <c r="AL71" i="1" s="1"/>
  <c r="U55" i="1"/>
  <c r="AL55" i="1" s="1"/>
  <c r="U39" i="1"/>
  <c r="U23" i="1"/>
  <c r="U7" i="1"/>
  <c r="Z125" i="1"/>
  <c r="AF109" i="1"/>
  <c r="AF93" i="1"/>
  <c r="AF77" i="1"/>
  <c r="AF61" i="1"/>
  <c r="AF45" i="1"/>
  <c r="AF29" i="1"/>
  <c r="AF13" i="1"/>
  <c r="W63" i="1"/>
  <c r="AG139" i="1"/>
  <c r="AG123" i="1"/>
  <c r="AG107" i="1"/>
  <c r="AG91" i="1"/>
  <c r="AG75" i="1"/>
  <c r="AG59" i="1"/>
  <c r="AG43" i="1"/>
  <c r="AG27" i="1"/>
  <c r="AG11" i="1"/>
  <c r="AC140" i="1"/>
  <c r="AC124" i="1"/>
  <c r="AC92" i="1"/>
  <c r="AC76" i="1"/>
  <c r="AC60" i="1"/>
  <c r="AC44" i="1"/>
  <c r="AC28" i="1"/>
  <c r="AC12" i="1"/>
  <c r="W47" i="1"/>
  <c r="AG122" i="1"/>
  <c r="AG106" i="1"/>
  <c r="AG90" i="1"/>
  <c r="AG74" i="1"/>
  <c r="AG58" i="1"/>
  <c r="AG42" i="1"/>
  <c r="AG26" i="1"/>
  <c r="AG10" i="1"/>
  <c r="AA133" i="1"/>
  <c r="AA117" i="1"/>
  <c r="AA101" i="1"/>
  <c r="AA85" i="1"/>
  <c r="AR85" i="1" s="1"/>
  <c r="AA69" i="1"/>
  <c r="AR69" i="1" s="1"/>
  <c r="AA53" i="1"/>
  <c r="AR53" i="1" s="1"/>
  <c r="AA37" i="1"/>
  <c r="AA21" i="1"/>
  <c r="AA5" i="1"/>
  <c r="AR5" i="1" s="1"/>
  <c r="Z139" i="1"/>
  <c r="Z123" i="1"/>
  <c r="AF107" i="1"/>
  <c r="AF91" i="1"/>
  <c r="AF75" i="1"/>
  <c r="AF59" i="1"/>
  <c r="AF43" i="1"/>
  <c r="Z27" i="1"/>
  <c r="Z11" i="1"/>
  <c r="W31" i="1"/>
  <c r="AG137" i="1"/>
  <c r="AG121" i="1"/>
  <c r="AG105" i="1"/>
  <c r="AG89" i="1"/>
  <c r="AG73" i="1"/>
  <c r="AG57" i="1"/>
  <c r="AG41" i="1"/>
  <c r="AG25" i="1"/>
  <c r="AG9" i="1"/>
  <c r="Z106" i="1"/>
  <c r="Z90" i="1"/>
  <c r="Z74" i="1"/>
  <c r="Z58" i="1"/>
  <c r="Z42" i="1"/>
  <c r="AB42" i="1" s="1"/>
  <c r="Z26" i="1"/>
  <c r="Z10" i="1"/>
  <c r="W15" i="1"/>
  <c r="AG136" i="1"/>
  <c r="AG120" i="1"/>
  <c r="AG104" i="1"/>
  <c r="AG88" i="1"/>
  <c r="AG72" i="1"/>
  <c r="AG56" i="1"/>
  <c r="AG40" i="1"/>
  <c r="AG24" i="1"/>
  <c r="AG8" i="1"/>
  <c r="Z137" i="1"/>
  <c r="Z121" i="1"/>
  <c r="Z105" i="1"/>
  <c r="Z89" i="1"/>
  <c r="Z73" i="1"/>
  <c r="Z57" i="1"/>
  <c r="Z41" i="1"/>
  <c r="AQ41" i="1" s="1"/>
  <c r="Z25" i="1"/>
  <c r="Z9" i="1"/>
  <c r="AG135" i="1"/>
  <c r="AG119" i="1"/>
  <c r="AG103" i="1"/>
  <c r="AG87" i="1"/>
  <c r="AG71" i="1"/>
  <c r="AG55" i="1"/>
  <c r="AG39" i="1"/>
  <c r="AG23" i="1"/>
  <c r="AG7" i="1"/>
  <c r="U2" i="1"/>
  <c r="T136" i="1"/>
  <c r="T120" i="1"/>
  <c r="T104" i="1"/>
  <c r="AF88" i="1"/>
  <c r="AF72" i="1"/>
  <c r="AF56" i="1"/>
  <c r="AF40" i="1"/>
  <c r="Z24" i="1"/>
  <c r="AQ24" i="1" s="1"/>
  <c r="AF8" i="1"/>
  <c r="AD134" i="1"/>
  <c r="AG134" i="1"/>
  <c r="AG118" i="1"/>
  <c r="AG102" i="1"/>
  <c r="AG86" i="1"/>
  <c r="AG70" i="1"/>
  <c r="AG54" i="1"/>
  <c r="AG38" i="1"/>
  <c r="AG22" i="1"/>
  <c r="AG6" i="1"/>
  <c r="Z119" i="1"/>
  <c r="Z103" i="1"/>
  <c r="AQ103" i="1" s="1"/>
  <c r="Z87" i="1"/>
  <c r="Z71" i="1"/>
  <c r="AQ71" i="1" s="1"/>
  <c r="Z55" i="1"/>
  <c r="Z23" i="1"/>
  <c r="Z7" i="1"/>
  <c r="AD118" i="1"/>
  <c r="AG133" i="1"/>
  <c r="AG117" i="1"/>
  <c r="AG101" i="1"/>
  <c r="AG85" i="1"/>
  <c r="AG69" i="1"/>
  <c r="AG53" i="1"/>
  <c r="AG37" i="1"/>
  <c r="AG21" i="1"/>
  <c r="AG5" i="1"/>
  <c r="U112" i="1"/>
  <c r="AL112" i="1" s="1"/>
  <c r="U96" i="1"/>
  <c r="AL96" i="1" s="1"/>
  <c r="U80" i="1"/>
  <c r="AL80" i="1" s="1"/>
  <c r="X64" i="1"/>
  <c r="AO64" i="1" s="1"/>
  <c r="X48" i="1"/>
  <c r="AO48" i="1" s="1"/>
  <c r="X32" i="1"/>
  <c r="AO32" i="1" s="1"/>
  <c r="X16" i="1"/>
  <c r="Z134" i="1"/>
  <c r="AQ134" i="1" s="1"/>
  <c r="Z118" i="1"/>
  <c r="AQ118" i="1" s="1"/>
  <c r="Z102" i="1"/>
  <c r="Z86" i="1"/>
  <c r="Z70" i="1"/>
  <c r="Z54" i="1"/>
  <c r="Z38" i="1"/>
  <c r="Z22" i="1"/>
  <c r="AQ22" i="1" s="1"/>
  <c r="Z6" i="1"/>
  <c r="AQ6" i="1" s="1"/>
  <c r="AD102" i="1"/>
  <c r="AG132" i="1"/>
  <c r="AG116" i="1"/>
  <c r="AG100" i="1"/>
  <c r="AG84" i="1"/>
  <c r="AG68" i="1"/>
  <c r="AG52" i="1"/>
  <c r="AG36" i="1"/>
  <c r="AG20" i="1"/>
  <c r="AG4" i="1"/>
  <c r="U128" i="1"/>
  <c r="U127" i="1"/>
  <c r="AL127" i="1" s="1"/>
  <c r="U111" i="1"/>
  <c r="U95" i="1"/>
  <c r="U79" i="1"/>
  <c r="AL79" i="1" s="1"/>
  <c r="U63" i="1"/>
  <c r="U47" i="1"/>
  <c r="X31" i="1"/>
  <c r="X15" i="1"/>
  <c r="AF133" i="1"/>
  <c r="AF117" i="1"/>
  <c r="AF101" i="1"/>
  <c r="AF85" i="1"/>
  <c r="AF69" i="1"/>
  <c r="AF53" i="1"/>
  <c r="AF37" i="1"/>
  <c r="AF21" i="1"/>
  <c r="AF5" i="1"/>
  <c r="Z69" i="1"/>
  <c r="AQ69" i="1" s="1"/>
  <c r="AD86" i="1"/>
  <c r="AG131" i="1"/>
  <c r="AG115" i="1"/>
  <c r="AG99" i="1"/>
  <c r="AG83" i="1"/>
  <c r="AG67" i="1"/>
  <c r="AG51" i="1"/>
  <c r="AG35" i="1"/>
  <c r="AG19" i="1"/>
  <c r="AG2" i="1"/>
  <c r="AC139" i="1"/>
  <c r="AC123" i="1"/>
  <c r="AC91" i="1"/>
  <c r="AC75" i="1"/>
  <c r="AC59" i="1"/>
  <c r="AC43" i="1"/>
  <c r="X126" i="1"/>
  <c r="AO126" i="1" s="1"/>
  <c r="X110" i="1"/>
  <c r="AO110" i="1" s="1"/>
  <c r="X94" i="1"/>
  <c r="AO94" i="1" s="1"/>
  <c r="X78" i="1"/>
  <c r="X62" i="1"/>
  <c r="AO62" i="1" s="1"/>
  <c r="X46" i="1"/>
  <c r="X30" i="1"/>
  <c r="AO30" i="1" s="1"/>
  <c r="X14" i="1"/>
  <c r="AO14" i="1" s="1"/>
  <c r="X138" i="1"/>
  <c r="AO138" i="1" s="1"/>
  <c r="X122" i="1"/>
  <c r="X106" i="1"/>
  <c r="X90" i="1"/>
  <c r="X74" i="1"/>
  <c r="AO74" i="1" s="1"/>
  <c r="X58" i="1"/>
  <c r="X42" i="1"/>
  <c r="X26" i="1"/>
  <c r="X10" i="1"/>
  <c r="AF132" i="1"/>
  <c r="AF116" i="1"/>
  <c r="AF100" i="1"/>
  <c r="AF68" i="1"/>
  <c r="AF52" i="1"/>
  <c r="AF36" i="1"/>
  <c r="AF20" i="1"/>
  <c r="AF4" i="1"/>
  <c r="Z53" i="1"/>
  <c r="AQ53" i="1" s="1"/>
  <c r="AD70" i="1"/>
  <c r="AG130" i="1"/>
  <c r="AG114" i="1"/>
  <c r="AG98" i="1"/>
  <c r="AG82" i="1"/>
  <c r="AG66" i="1"/>
  <c r="AG50" i="1"/>
  <c r="AG34" i="1"/>
  <c r="AG18" i="1"/>
  <c r="AG3" i="1"/>
  <c r="AF97" i="1"/>
  <c r="AF65" i="1"/>
  <c r="AF17" i="1"/>
  <c r="W126" i="1"/>
  <c r="AN126" i="1" s="1"/>
  <c r="W110" i="1"/>
  <c r="AN110" i="1" s="1"/>
  <c r="W94" i="1"/>
  <c r="W78" i="1"/>
  <c r="W62" i="1"/>
  <c r="AN62" i="1" s="1"/>
  <c r="W46" i="1"/>
  <c r="W30" i="1"/>
  <c r="AN30" i="1" s="1"/>
  <c r="W14" i="1"/>
  <c r="X137" i="1"/>
  <c r="X121" i="1"/>
  <c r="X105" i="1"/>
  <c r="X89" i="1"/>
  <c r="X73" i="1"/>
  <c r="X57" i="1"/>
  <c r="X41" i="1"/>
  <c r="AO41" i="1" s="1"/>
  <c r="X25" i="1"/>
  <c r="X9" i="1"/>
  <c r="Z132" i="1"/>
  <c r="Z116" i="1"/>
  <c r="Z100" i="1"/>
  <c r="Z68" i="1"/>
  <c r="Z52" i="1"/>
  <c r="Z36" i="1"/>
  <c r="AQ36" i="1" s="1"/>
  <c r="Z20" i="1"/>
  <c r="AQ20" i="1" s="1"/>
  <c r="Z4" i="1"/>
  <c r="AQ4" i="1" s="1"/>
  <c r="AA127" i="1"/>
  <c r="AR127" i="1" s="1"/>
  <c r="AA111" i="1"/>
  <c r="AA95" i="1"/>
  <c r="AA79" i="1"/>
  <c r="AA63" i="1"/>
  <c r="AA47" i="1"/>
  <c r="AA31" i="1"/>
  <c r="AA15" i="1"/>
  <c r="AC138" i="1"/>
  <c r="AC106" i="1"/>
  <c r="AC90" i="1"/>
  <c r="AC74" i="1"/>
  <c r="AC58" i="1"/>
  <c r="AE58" i="1" s="1"/>
  <c r="AC42" i="1"/>
  <c r="AC26" i="1"/>
  <c r="AC10" i="1"/>
  <c r="AD133" i="1"/>
  <c r="AD117" i="1"/>
  <c r="AD101" i="1"/>
  <c r="AD85" i="1"/>
  <c r="AD69" i="1"/>
  <c r="AD53" i="1"/>
  <c r="AD37" i="1"/>
  <c r="AD21" i="1"/>
  <c r="AD5" i="1"/>
  <c r="AF128" i="1"/>
  <c r="AH128" i="1" s="1"/>
  <c r="AF112" i="1"/>
  <c r="AF96" i="1"/>
  <c r="AH96" i="1" s="1"/>
  <c r="AF80" i="1"/>
  <c r="AF64" i="1"/>
  <c r="AF48" i="1"/>
  <c r="AF32" i="1"/>
  <c r="AF16" i="1"/>
  <c r="AF129" i="1"/>
  <c r="AH129" i="1" s="1"/>
  <c r="W125" i="1"/>
  <c r="W109" i="1"/>
  <c r="W93" i="1"/>
  <c r="W77" i="1"/>
  <c r="AN77" i="1" s="1"/>
  <c r="W61" i="1"/>
  <c r="AN61" i="1" s="1"/>
  <c r="W45" i="1"/>
  <c r="W29" i="1"/>
  <c r="W13" i="1"/>
  <c r="X136" i="1"/>
  <c r="X120" i="1"/>
  <c r="X104" i="1"/>
  <c r="X88" i="1"/>
  <c r="X72" i="1"/>
  <c r="AO72" i="1" s="1"/>
  <c r="X56" i="1"/>
  <c r="X40" i="1"/>
  <c r="AO40" i="1" s="1"/>
  <c r="X24" i="1"/>
  <c r="AO24" i="1" s="1"/>
  <c r="X8" i="1"/>
  <c r="Z131" i="1"/>
  <c r="AB131" i="1" s="1"/>
  <c r="Z115" i="1"/>
  <c r="Z99" i="1"/>
  <c r="AQ99" i="1" s="1"/>
  <c r="Z83" i="1"/>
  <c r="AQ83" i="1" s="1"/>
  <c r="Z67" i="1"/>
  <c r="Z51" i="1"/>
  <c r="Z19" i="1"/>
  <c r="AQ19" i="1" s="1"/>
  <c r="Z3" i="1"/>
  <c r="AQ3" i="1" s="1"/>
  <c r="AA126" i="1"/>
  <c r="AR126" i="1" s="1"/>
  <c r="AA110" i="1"/>
  <c r="AR110" i="1" s="1"/>
  <c r="AA94" i="1"/>
  <c r="AR94" i="1" s="1"/>
  <c r="AA78" i="1"/>
  <c r="AR78" i="1" s="1"/>
  <c r="AA62" i="1"/>
  <c r="AR62" i="1" s="1"/>
  <c r="AA46" i="1"/>
  <c r="AA30" i="1"/>
  <c r="AR30" i="1" s="1"/>
  <c r="AA14" i="1"/>
  <c r="AR14" i="1" s="1"/>
  <c r="AC137" i="1"/>
  <c r="AC121" i="1"/>
  <c r="AE121" i="1" s="1"/>
  <c r="AC105" i="1"/>
  <c r="AC89" i="1"/>
  <c r="AE89" i="1" s="1"/>
  <c r="AC73" i="1"/>
  <c r="AC57" i="1"/>
  <c r="AC41" i="1"/>
  <c r="AC25" i="1"/>
  <c r="AC9" i="1"/>
  <c r="AD132" i="1"/>
  <c r="AD116" i="1"/>
  <c r="AD100" i="1"/>
  <c r="AD84" i="1"/>
  <c r="AD68" i="1"/>
  <c r="AD52" i="1"/>
  <c r="AD36" i="1"/>
  <c r="AD20" i="1"/>
  <c r="AD4" i="1"/>
  <c r="AF127" i="1"/>
  <c r="AH127" i="1" s="1"/>
  <c r="AF111" i="1"/>
  <c r="AH111" i="1" s="1"/>
  <c r="AF95" i="1"/>
  <c r="AF79" i="1"/>
  <c r="AF63" i="1"/>
  <c r="AF47" i="1"/>
  <c r="AF31" i="1"/>
  <c r="AF15" i="1"/>
  <c r="AH15" i="1" s="1"/>
  <c r="AF81" i="1"/>
  <c r="W140" i="1"/>
  <c r="AN140" i="1" s="1"/>
  <c r="W124" i="1"/>
  <c r="W92" i="1"/>
  <c r="W76" i="1"/>
  <c r="W60" i="1"/>
  <c r="AN60" i="1" s="1"/>
  <c r="W44" i="1"/>
  <c r="W28" i="1"/>
  <c r="W12" i="1"/>
  <c r="X135" i="1"/>
  <c r="AO135" i="1" s="1"/>
  <c r="X119" i="1"/>
  <c r="X103" i="1"/>
  <c r="X87" i="1"/>
  <c r="X71" i="1"/>
  <c r="AO71" i="1" s="1"/>
  <c r="X55" i="1"/>
  <c r="X39" i="1"/>
  <c r="X23" i="1"/>
  <c r="X7" i="1"/>
  <c r="Z130" i="1"/>
  <c r="AQ130" i="1" s="1"/>
  <c r="Z114" i="1"/>
  <c r="Z98" i="1"/>
  <c r="AQ98" i="1" s="1"/>
  <c r="Z82" i="1"/>
  <c r="Z66" i="1"/>
  <c r="Z50" i="1"/>
  <c r="Z34" i="1"/>
  <c r="Z18" i="1"/>
  <c r="AQ18" i="1" s="1"/>
  <c r="Z2" i="1"/>
  <c r="AA125" i="1"/>
  <c r="AA109" i="1"/>
  <c r="AA93" i="1"/>
  <c r="AA77" i="1"/>
  <c r="AR77" i="1" s="1"/>
  <c r="AA61" i="1"/>
  <c r="AR61" i="1" s="1"/>
  <c r="AA45" i="1"/>
  <c r="AR45" i="1" s="1"/>
  <c r="AA29" i="1"/>
  <c r="AA13" i="1"/>
  <c r="AC136" i="1"/>
  <c r="AC120" i="1"/>
  <c r="AC104" i="1"/>
  <c r="AC88" i="1"/>
  <c r="AC72" i="1"/>
  <c r="AC56" i="1"/>
  <c r="AE56" i="1" s="1"/>
  <c r="AC40" i="1"/>
  <c r="AE40" i="1" s="1"/>
  <c r="AC24" i="1"/>
  <c r="AC8" i="1"/>
  <c r="AD131" i="1"/>
  <c r="AD115" i="1"/>
  <c r="AD99" i="1"/>
  <c r="AD83" i="1"/>
  <c r="AD67" i="1"/>
  <c r="AD51" i="1"/>
  <c r="AD35" i="1"/>
  <c r="AD19" i="1"/>
  <c r="AD3" i="1"/>
  <c r="AF126" i="1"/>
  <c r="AF110" i="1"/>
  <c r="AF94" i="1"/>
  <c r="AH94" i="1" s="1"/>
  <c r="AF78" i="1"/>
  <c r="AF62" i="1"/>
  <c r="AH62" i="1" s="1"/>
  <c r="AF46" i="1"/>
  <c r="AF30" i="1"/>
  <c r="AF14" i="1"/>
  <c r="U138" i="1"/>
  <c r="AL138" i="1" s="1"/>
  <c r="W139" i="1"/>
  <c r="W123" i="1"/>
  <c r="Y123" i="1" s="1"/>
  <c r="W107" i="1"/>
  <c r="AN107" i="1" s="1"/>
  <c r="W91" i="1"/>
  <c r="W75" i="1"/>
  <c r="W59" i="1"/>
  <c r="W43" i="1"/>
  <c r="W27" i="1"/>
  <c r="W11" i="1"/>
  <c r="X134" i="1"/>
  <c r="AO134" i="1" s="1"/>
  <c r="X118" i="1"/>
  <c r="AO118" i="1" s="1"/>
  <c r="X102" i="1"/>
  <c r="X86" i="1"/>
  <c r="X70" i="1"/>
  <c r="X54" i="1"/>
  <c r="X38" i="1"/>
  <c r="X22" i="1"/>
  <c r="AO22" i="1" s="1"/>
  <c r="X6" i="1"/>
  <c r="AO6" i="1" s="1"/>
  <c r="Z129" i="1"/>
  <c r="AQ129" i="1" s="1"/>
  <c r="Z97" i="1"/>
  <c r="Z81" i="1"/>
  <c r="Z65" i="1"/>
  <c r="Z49" i="1"/>
  <c r="Z33" i="1"/>
  <c r="Z17" i="1"/>
  <c r="AQ17" i="1" s="1"/>
  <c r="AA140" i="1"/>
  <c r="AR140" i="1" s="1"/>
  <c r="AA124" i="1"/>
  <c r="AA108" i="1"/>
  <c r="AA92" i="1"/>
  <c r="AA76" i="1"/>
  <c r="AR76" i="1" s="1"/>
  <c r="AA60" i="1"/>
  <c r="AR60" i="1" s="1"/>
  <c r="AA44" i="1"/>
  <c r="AA28" i="1"/>
  <c r="AR28" i="1" s="1"/>
  <c r="AA12" i="1"/>
  <c r="AC135" i="1"/>
  <c r="AC119" i="1"/>
  <c r="AC103" i="1"/>
  <c r="AC87" i="1"/>
  <c r="AC71" i="1"/>
  <c r="AC55" i="1"/>
  <c r="AC23" i="1"/>
  <c r="AC7" i="1"/>
  <c r="AD130" i="1"/>
  <c r="AD114" i="1"/>
  <c r="AD98" i="1"/>
  <c r="AD82" i="1"/>
  <c r="AD66" i="1"/>
  <c r="AD50" i="1"/>
  <c r="AD34" i="1"/>
  <c r="AD18" i="1"/>
  <c r="AD2" i="1"/>
  <c r="AF125" i="1"/>
  <c r="W138" i="1"/>
  <c r="AN138" i="1" s="1"/>
  <c r="W106" i="1"/>
  <c r="AN106" i="1" s="1"/>
  <c r="W90" i="1"/>
  <c r="W74" i="1"/>
  <c r="AN74" i="1" s="1"/>
  <c r="W58" i="1"/>
  <c r="W42" i="1"/>
  <c r="W26" i="1"/>
  <c r="W10" i="1"/>
  <c r="X133" i="1"/>
  <c r="AO133" i="1" s="1"/>
  <c r="X117" i="1"/>
  <c r="AO117" i="1" s="1"/>
  <c r="X101" i="1"/>
  <c r="AO101" i="1" s="1"/>
  <c r="X85" i="1"/>
  <c r="AO85" i="1" s="1"/>
  <c r="X69" i="1"/>
  <c r="AO69" i="1" s="1"/>
  <c r="X53" i="1"/>
  <c r="AO53" i="1" s="1"/>
  <c r="X37" i="1"/>
  <c r="AO37" i="1" s="1"/>
  <c r="X21" i="1"/>
  <c r="AO21" i="1" s="1"/>
  <c r="X5" i="1"/>
  <c r="AO5" i="1" s="1"/>
  <c r="Z128" i="1"/>
  <c r="Z112" i="1"/>
  <c r="AQ112" i="1" s="1"/>
  <c r="Z96" i="1"/>
  <c r="AQ96" i="1" s="1"/>
  <c r="Z80" i="1"/>
  <c r="AQ80" i="1" s="1"/>
  <c r="Z64" i="1"/>
  <c r="Z48" i="1"/>
  <c r="Z32" i="1"/>
  <c r="Z16" i="1"/>
  <c r="AA139" i="1"/>
  <c r="AR139" i="1" s="1"/>
  <c r="AA123" i="1"/>
  <c r="AA107" i="1"/>
  <c r="AR107" i="1" s="1"/>
  <c r="AA91" i="1"/>
  <c r="AA75" i="1"/>
  <c r="AA59" i="1"/>
  <c r="AA43" i="1"/>
  <c r="AA27" i="1"/>
  <c r="AA11" i="1"/>
  <c r="AC134" i="1"/>
  <c r="AC118" i="1"/>
  <c r="AC102" i="1"/>
  <c r="AC86" i="1"/>
  <c r="AC70" i="1"/>
  <c r="AC54" i="1"/>
  <c r="AC38" i="1"/>
  <c r="AC22" i="1"/>
  <c r="AE22" i="1" s="1"/>
  <c r="AC6" i="1"/>
  <c r="AE6" i="1" s="1"/>
  <c r="AD129" i="1"/>
  <c r="AD113" i="1"/>
  <c r="AD97" i="1"/>
  <c r="AD81" i="1"/>
  <c r="AD65" i="1"/>
  <c r="AD49" i="1"/>
  <c r="AD33" i="1"/>
  <c r="AD17" i="1"/>
  <c r="AF140" i="1"/>
  <c r="AF124" i="1"/>
  <c r="AF92" i="1"/>
  <c r="AF76" i="1"/>
  <c r="AH76" i="1" s="1"/>
  <c r="AF60" i="1"/>
  <c r="AH60" i="1" s="1"/>
  <c r="AF44" i="1"/>
  <c r="AF28" i="1"/>
  <c r="AF12" i="1"/>
  <c r="AF49" i="1"/>
  <c r="W137" i="1"/>
  <c r="W121" i="1"/>
  <c r="W105" i="1"/>
  <c r="W89" i="1"/>
  <c r="W73" i="1"/>
  <c r="W57" i="1"/>
  <c r="W41" i="1"/>
  <c r="AN41" i="1" s="1"/>
  <c r="W25" i="1"/>
  <c r="AN25" i="1" s="1"/>
  <c r="W9" i="1"/>
  <c r="X132" i="1"/>
  <c r="X116" i="1"/>
  <c r="X100" i="1"/>
  <c r="X84" i="1"/>
  <c r="X68" i="1"/>
  <c r="X52" i="1"/>
  <c r="X36" i="1"/>
  <c r="X20" i="1"/>
  <c r="AO20" i="1" s="1"/>
  <c r="X4" i="1"/>
  <c r="AO4" i="1" s="1"/>
  <c r="Z127" i="1"/>
  <c r="AQ127" i="1" s="1"/>
  <c r="Z95" i="1"/>
  <c r="Z79" i="1"/>
  <c r="Z63" i="1"/>
  <c r="Z47" i="1"/>
  <c r="Z31" i="1"/>
  <c r="Z15" i="1"/>
  <c r="AA138" i="1"/>
  <c r="AR138" i="1" s="1"/>
  <c r="AA122" i="1"/>
  <c r="AA106" i="1"/>
  <c r="AA90" i="1"/>
  <c r="AR90" i="1" s="1"/>
  <c r="AA74" i="1"/>
  <c r="AR74" i="1" s="1"/>
  <c r="AA58" i="1"/>
  <c r="AA42" i="1"/>
  <c r="AA26" i="1"/>
  <c r="AA10" i="1"/>
  <c r="AC133" i="1"/>
  <c r="AC117" i="1"/>
  <c r="AC101" i="1"/>
  <c r="AC85" i="1"/>
  <c r="AC69" i="1"/>
  <c r="AC53" i="1"/>
  <c r="AC37" i="1"/>
  <c r="AC21" i="1"/>
  <c r="AC5" i="1"/>
  <c r="AD128" i="1"/>
  <c r="AD112" i="1"/>
  <c r="AD96" i="1"/>
  <c r="AD80" i="1"/>
  <c r="AD64" i="1"/>
  <c r="AD48" i="1"/>
  <c r="AD32" i="1"/>
  <c r="AD16" i="1"/>
  <c r="AF139" i="1"/>
  <c r="AF123" i="1"/>
  <c r="AF27" i="1"/>
  <c r="AF11" i="1"/>
  <c r="T109" i="1"/>
  <c r="T93" i="1"/>
  <c r="T77" i="1"/>
  <c r="AK77" i="1" s="1"/>
  <c r="T61" i="1"/>
  <c r="AK61" i="1" s="1"/>
  <c r="T45" i="1"/>
  <c r="AK45" i="1" s="1"/>
  <c r="T29" i="1"/>
  <c r="T13" i="1"/>
  <c r="W136" i="1"/>
  <c r="W120" i="1"/>
  <c r="W104" i="1"/>
  <c r="W88" i="1"/>
  <c r="W72" i="1"/>
  <c r="AN72" i="1" s="1"/>
  <c r="W56" i="1"/>
  <c r="W40" i="1"/>
  <c r="AN40" i="1" s="1"/>
  <c r="W24" i="1"/>
  <c r="AN24" i="1" s="1"/>
  <c r="W8" i="1"/>
  <c r="X131" i="1"/>
  <c r="X115" i="1"/>
  <c r="X99" i="1"/>
  <c r="AO99" i="1" s="1"/>
  <c r="X83" i="1"/>
  <c r="AO83" i="1" s="1"/>
  <c r="X67" i="1"/>
  <c r="AO67" i="1" s="1"/>
  <c r="X51" i="1"/>
  <c r="X35" i="1"/>
  <c r="X19" i="1"/>
  <c r="AO19" i="1" s="1"/>
  <c r="X3" i="1"/>
  <c r="Z126" i="1"/>
  <c r="AQ126" i="1" s="1"/>
  <c r="Z110" i="1"/>
  <c r="AQ110" i="1" s="1"/>
  <c r="Z94" i="1"/>
  <c r="Z78" i="1"/>
  <c r="Z62" i="1"/>
  <c r="AQ62" i="1" s="1"/>
  <c r="Z46" i="1"/>
  <c r="Z30" i="1"/>
  <c r="AQ30" i="1" s="1"/>
  <c r="Z14" i="1"/>
  <c r="AA137" i="1"/>
  <c r="AA121" i="1"/>
  <c r="AA105" i="1"/>
  <c r="AA89" i="1"/>
  <c r="AA73" i="1"/>
  <c r="AA57" i="1"/>
  <c r="AR57" i="1" s="1"/>
  <c r="AA41" i="1"/>
  <c r="AR41" i="1" s="1"/>
  <c r="AA25" i="1"/>
  <c r="AA9" i="1"/>
  <c r="AC132" i="1"/>
  <c r="AC116" i="1"/>
  <c r="AC100" i="1"/>
  <c r="AC68" i="1"/>
  <c r="AE68" i="1" s="1"/>
  <c r="AC52" i="1"/>
  <c r="AC36" i="1"/>
  <c r="AC20" i="1"/>
  <c r="AC4" i="1"/>
  <c r="AD127" i="1"/>
  <c r="AE127" i="1" s="1"/>
  <c r="AD111" i="1"/>
  <c r="AD95" i="1"/>
  <c r="AD79" i="1"/>
  <c r="AD63" i="1"/>
  <c r="AD47" i="1"/>
  <c r="AD31" i="1"/>
  <c r="AD15" i="1"/>
  <c r="AF138" i="1"/>
  <c r="AF106" i="1"/>
  <c r="AF90" i="1"/>
  <c r="AF74" i="1"/>
  <c r="AF58" i="1"/>
  <c r="AF42" i="1"/>
  <c r="AF26" i="1"/>
  <c r="AH26" i="1" s="1"/>
  <c r="AF10" i="1"/>
  <c r="AH10" i="1" s="1"/>
  <c r="W135" i="1"/>
  <c r="AN135" i="1" s="1"/>
  <c r="W119" i="1"/>
  <c r="AN119" i="1" s="1"/>
  <c r="W103" i="1"/>
  <c r="W87" i="1"/>
  <c r="W71" i="1"/>
  <c r="AN71" i="1" s="1"/>
  <c r="W55" i="1"/>
  <c r="AN55" i="1" s="1"/>
  <c r="W23" i="1"/>
  <c r="AN23" i="1" s="1"/>
  <c r="W7" i="1"/>
  <c r="AN7" i="1" s="1"/>
  <c r="X130" i="1"/>
  <c r="AO130" i="1" s="1"/>
  <c r="X114" i="1"/>
  <c r="AO114" i="1" s="1"/>
  <c r="X98" i="1"/>
  <c r="AO98" i="1" s="1"/>
  <c r="X82" i="1"/>
  <c r="X66" i="1"/>
  <c r="X50" i="1"/>
  <c r="X34" i="1"/>
  <c r="X18" i="1"/>
  <c r="AO18" i="1" s="1"/>
  <c r="X2" i="1"/>
  <c r="Z109" i="1"/>
  <c r="Z93" i="1"/>
  <c r="Z77" i="1"/>
  <c r="AQ77" i="1" s="1"/>
  <c r="Z61" i="1"/>
  <c r="AQ61" i="1" s="1"/>
  <c r="Z45" i="1"/>
  <c r="Z29" i="1"/>
  <c r="Z13" i="1"/>
  <c r="AA136" i="1"/>
  <c r="AA120" i="1"/>
  <c r="AA104" i="1"/>
  <c r="AA88" i="1"/>
  <c r="AA72" i="1"/>
  <c r="AR72" i="1" s="1"/>
  <c r="AA56" i="1"/>
  <c r="AA40" i="1"/>
  <c r="AR40" i="1" s="1"/>
  <c r="AA24" i="1"/>
  <c r="AA8" i="1"/>
  <c r="AR8" i="1" s="1"/>
  <c r="AC131" i="1"/>
  <c r="AC115" i="1"/>
  <c r="AC99" i="1"/>
  <c r="AC83" i="1"/>
  <c r="AC67" i="1"/>
  <c r="AC51" i="1"/>
  <c r="AC19" i="1"/>
  <c r="AC3" i="1"/>
  <c r="AD126" i="1"/>
  <c r="AD110" i="1"/>
  <c r="AD94" i="1"/>
  <c r="AD78" i="1"/>
  <c r="AD62" i="1"/>
  <c r="AE62" i="1" s="1"/>
  <c r="AD46" i="1"/>
  <c r="AD30" i="1"/>
  <c r="AD14" i="1"/>
  <c r="AF137" i="1"/>
  <c r="AF121" i="1"/>
  <c r="AF105" i="1"/>
  <c r="AF89" i="1"/>
  <c r="AF73" i="1"/>
  <c r="AF57" i="1"/>
  <c r="AF41" i="1"/>
  <c r="AF25" i="1"/>
  <c r="AF9" i="1"/>
  <c r="T132" i="1"/>
  <c r="T125" i="1"/>
  <c r="T27" i="1"/>
  <c r="T107" i="1"/>
  <c r="AK107" i="1" s="1"/>
  <c r="T91" i="1"/>
  <c r="T75" i="1"/>
  <c r="T59" i="1"/>
  <c r="T43" i="1"/>
  <c r="W134" i="1"/>
  <c r="AN134" i="1" s="1"/>
  <c r="W118" i="1"/>
  <c r="AN118" i="1" s="1"/>
  <c r="W102" i="1"/>
  <c r="W86" i="1"/>
  <c r="W70" i="1"/>
  <c r="W54" i="1"/>
  <c r="W38" i="1"/>
  <c r="W22" i="1"/>
  <c r="AN22" i="1" s="1"/>
  <c r="W6" i="1"/>
  <c r="X129" i="1"/>
  <c r="AO129" i="1" s="1"/>
  <c r="X113" i="1"/>
  <c r="X97" i="1"/>
  <c r="X81" i="1"/>
  <c r="X65" i="1"/>
  <c r="X49" i="1"/>
  <c r="X33" i="1"/>
  <c r="X17" i="1"/>
  <c r="AO17" i="1" s="1"/>
  <c r="Z140" i="1"/>
  <c r="AQ140" i="1" s="1"/>
  <c r="Z124" i="1"/>
  <c r="AQ124" i="1" s="1"/>
  <c r="Z92" i="1"/>
  <c r="Z76" i="1"/>
  <c r="Z60" i="1"/>
  <c r="AQ60" i="1" s="1"/>
  <c r="Z44" i="1"/>
  <c r="Z28" i="1"/>
  <c r="Z12" i="1"/>
  <c r="AA135" i="1"/>
  <c r="AR135" i="1" s="1"/>
  <c r="AA119" i="1"/>
  <c r="AR119" i="1" s="1"/>
  <c r="AA103" i="1"/>
  <c r="AR103" i="1" s="1"/>
  <c r="AA87" i="1"/>
  <c r="AA71" i="1"/>
  <c r="AR71" i="1" s="1"/>
  <c r="AA55" i="1"/>
  <c r="AA39" i="1"/>
  <c r="AA23" i="1"/>
  <c r="AA7" i="1"/>
  <c r="AC130" i="1"/>
  <c r="AC114" i="1"/>
  <c r="AC98" i="1"/>
  <c r="AC82" i="1"/>
  <c r="AC66" i="1"/>
  <c r="AC50" i="1"/>
  <c r="AC34" i="1"/>
  <c r="AC18" i="1"/>
  <c r="AC2" i="1"/>
  <c r="AD125" i="1"/>
  <c r="AD109" i="1"/>
  <c r="AD93" i="1"/>
  <c r="AD77" i="1"/>
  <c r="AD61" i="1"/>
  <c r="AD45" i="1"/>
  <c r="AD29" i="1"/>
  <c r="AD13" i="1"/>
  <c r="AF136" i="1"/>
  <c r="AF120" i="1"/>
  <c r="AF104" i="1"/>
  <c r="AF24" i="1"/>
  <c r="W133" i="1"/>
  <c r="W117" i="1"/>
  <c r="W101" i="1"/>
  <c r="W85" i="1"/>
  <c r="AN85" i="1" s="1"/>
  <c r="W69" i="1"/>
  <c r="AN69" i="1" s="1"/>
  <c r="W53" i="1"/>
  <c r="AN53" i="1" s="1"/>
  <c r="W37" i="1"/>
  <c r="AN37" i="1" s="1"/>
  <c r="W21" i="1"/>
  <c r="W5" i="1"/>
  <c r="AN5" i="1" s="1"/>
  <c r="X128" i="1"/>
  <c r="X112" i="1"/>
  <c r="AO112" i="1" s="1"/>
  <c r="X96" i="1"/>
  <c r="AO96" i="1" s="1"/>
  <c r="X80" i="1"/>
  <c r="AO80" i="1" s="1"/>
  <c r="Z107" i="1"/>
  <c r="AQ107" i="1" s="1"/>
  <c r="Z91" i="1"/>
  <c r="AQ91" i="1" s="1"/>
  <c r="Z75" i="1"/>
  <c r="Z59" i="1"/>
  <c r="Z43" i="1"/>
  <c r="AA134" i="1"/>
  <c r="AR134" i="1" s="1"/>
  <c r="AA118" i="1"/>
  <c r="AR118" i="1" s="1"/>
  <c r="AA102" i="1"/>
  <c r="AR102" i="1" s="1"/>
  <c r="AA86" i="1"/>
  <c r="AA70" i="1"/>
  <c r="AA54" i="1"/>
  <c r="AA38" i="1"/>
  <c r="AA22" i="1"/>
  <c r="AR22" i="1" s="1"/>
  <c r="AA6" i="1"/>
  <c r="AR6" i="1" s="1"/>
  <c r="AC129" i="1"/>
  <c r="AC97" i="1"/>
  <c r="AC81" i="1"/>
  <c r="AC65" i="1"/>
  <c r="AC49" i="1"/>
  <c r="AC33" i="1"/>
  <c r="AC17" i="1"/>
  <c r="AD140" i="1"/>
  <c r="AE140" i="1" s="1"/>
  <c r="AD124" i="1"/>
  <c r="AE124" i="1" s="1"/>
  <c r="AD108" i="1"/>
  <c r="AD92" i="1"/>
  <c r="AD76" i="1"/>
  <c r="AD60" i="1"/>
  <c r="AD44" i="1"/>
  <c r="AD28" i="1"/>
  <c r="AD12" i="1"/>
  <c r="AF119" i="1"/>
  <c r="AH119" i="1" s="1"/>
  <c r="AF103" i="1"/>
  <c r="AF87" i="1"/>
  <c r="AF71" i="1"/>
  <c r="AF55" i="1"/>
  <c r="AF39" i="1"/>
  <c r="AF23" i="1"/>
  <c r="AF7" i="1"/>
  <c r="AH7" i="1" s="1"/>
  <c r="W132" i="1"/>
  <c r="W116" i="1"/>
  <c r="W100" i="1"/>
  <c r="W68" i="1"/>
  <c r="W52" i="1"/>
  <c r="W36" i="1"/>
  <c r="W20" i="1"/>
  <c r="AN20" i="1" s="1"/>
  <c r="W4" i="1"/>
  <c r="AN4" i="1" s="1"/>
  <c r="X127" i="1"/>
  <c r="AO127" i="1" s="1"/>
  <c r="X111" i="1"/>
  <c r="X95" i="1"/>
  <c r="X79" i="1"/>
  <c r="X63" i="1"/>
  <c r="X47" i="1"/>
  <c r="AC128" i="1"/>
  <c r="AC112" i="1"/>
  <c r="AC96" i="1"/>
  <c r="AC80" i="1"/>
  <c r="AC64" i="1"/>
  <c r="AC48" i="1"/>
  <c r="AC32" i="1"/>
  <c r="AC16" i="1"/>
  <c r="AD139" i="1"/>
  <c r="AD123" i="1"/>
  <c r="AD107" i="1"/>
  <c r="AD91" i="1"/>
  <c r="AD75" i="1"/>
  <c r="AE75" i="1" s="1"/>
  <c r="AD59" i="1"/>
  <c r="AD43" i="1"/>
  <c r="AD27" i="1"/>
  <c r="AE27" i="1" s="1"/>
  <c r="AD11" i="1"/>
  <c r="AF134" i="1"/>
  <c r="AF118" i="1"/>
  <c r="AF102" i="1"/>
  <c r="AF86" i="1"/>
  <c r="AF70" i="1"/>
  <c r="AF54" i="1"/>
  <c r="AH54" i="1" s="1"/>
  <c r="AF38" i="1"/>
  <c r="AF22" i="1"/>
  <c r="AF6" i="1"/>
  <c r="T88" i="1"/>
  <c r="AK88" i="1" s="1"/>
  <c r="T72" i="1"/>
  <c r="AK72" i="1" s="1"/>
  <c r="T56" i="1"/>
  <c r="T40" i="1"/>
  <c r="AK40" i="1" s="1"/>
  <c r="T8" i="1"/>
  <c r="W131" i="1"/>
  <c r="W115" i="1"/>
  <c r="W99" i="1"/>
  <c r="AN99" i="1" s="1"/>
  <c r="W83" i="1"/>
  <c r="AN83" i="1" s="1"/>
  <c r="W67" i="1"/>
  <c r="AN67" i="1" s="1"/>
  <c r="W51" i="1"/>
  <c r="W19" i="1"/>
  <c r="AN19" i="1" s="1"/>
  <c r="W3" i="1"/>
  <c r="AA132" i="1"/>
  <c r="AA116" i="1"/>
  <c r="AA100" i="1"/>
  <c r="AA84" i="1"/>
  <c r="AA68" i="1"/>
  <c r="AA52" i="1"/>
  <c r="AA36" i="1"/>
  <c r="AR36" i="1" s="1"/>
  <c r="AA20" i="1"/>
  <c r="AR20" i="1" s="1"/>
  <c r="AA4" i="1"/>
  <c r="AR4" i="1" s="1"/>
  <c r="AD138" i="1"/>
  <c r="T135" i="1"/>
  <c r="W130" i="1"/>
  <c r="AN130" i="1" s="1"/>
  <c r="W114" i="1"/>
  <c r="W98" i="1"/>
  <c r="AN98" i="1" s="1"/>
  <c r="W82" i="1"/>
  <c r="W66" i="1"/>
  <c r="W50" i="1"/>
  <c r="W34" i="1"/>
  <c r="W18" i="1"/>
  <c r="AN18" i="1" s="1"/>
  <c r="W2" i="1"/>
  <c r="Z136" i="1"/>
  <c r="Z120" i="1"/>
  <c r="Z104" i="1"/>
  <c r="Z88" i="1"/>
  <c r="Z72" i="1"/>
  <c r="AQ72" i="1" s="1"/>
  <c r="Z56" i="1"/>
  <c r="Z40" i="1"/>
  <c r="AQ40" i="1" s="1"/>
  <c r="Z8" i="1"/>
  <c r="U64" i="1"/>
  <c r="AL64" i="1" s="1"/>
  <c r="U48" i="1"/>
  <c r="U32" i="1"/>
  <c r="U16" i="1"/>
  <c r="X140" i="1"/>
  <c r="AO140" i="1" s="1"/>
  <c r="X124" i="1"/>
  <c r="X108" i="1"/>
  <c r="X92" i="1"/>
  <c r="AO92" i="1" s="1"/>
  <c r="X76" i="1"/>
  <c r="X60" i="1"/>
  <c r="AO60" i="1" s="1"/>
  <c r="X44" i="1"/>
  <c r="X28" i="1"/>
  <c r="X12" i="1"/>
  <c r="Z135" i="1"/>
  <c r="AQ135" i="1" s="1"/>
  <c r="AA2" i="1"/>
  <c r="AC125" i="1"/>
  <c r="AC109" i="1"/>
  <c r="AC93" i="1"/>
  <c r="AC77" i="1"/>
  <c r="AC61" i="1"/>
  <c r="AC45" i="1"/>
  <c r="AC29" i="1"/>
  <c r="AC13" i="1"/>
  <c r="U31" i="1"/>
  <c r="U15" i="1"/>
  <c r="AL15" i="1" s="1"/>
  <c r="AA129" i="1"/>
  <c r="AR129" i="1" s="1"/>
  <c r="AA113" i="1"/>
  <c r="AA97" i="1"/>
  <c r="AA81" i="1"/>
  <c r="AA65" i="1"/>
  <c r="AA49" i="1"/>
  <c r="AA33" i="1"/>
  <c r="AA17" i="1"/>
  <c r="AR17" i="1" s="1"/>
  <c r="AD135" i="1"/>
  <c r="AD119" i="1"/>
  <c r="AD103" i="1"/>
  <c r="AE103" i="1" s="1"/>
  <c r="AD87" i="1"/>
  <c r="AD71" i="1"/>
  <c r="AD55" i="1"/>
  <c r="AD39" i="1"/>
  <c r="AD23" i="1"/>
  <c r="AD7" i="1"/>
  <c r="T119" i="1"/>
  <c r="T103" i="1"/>
  <c r="T87" i="1"/>
  <c r="T71" i="1"/>
  <c r="T55" i="1"/>
  <c r="T23" i="1"/>
  <c r="T7" i="1"/>
  <c r="T134" i="1"/>
  <c r="T118" i="1"/>
  <c r="T102" i="1"/>
  <c r="T86" i="1"/>
  <c r="T70" i="1"/>
  <c r="T54" i="1"/>
  <c r="T38" i="1"/>
  <c r="T22" i="1"/>
  <c r="T6" i="1"/>
  <c r="T133" i="1"/>
  <c r="T117" i="1"/>
  <c r="T101" i="1"/>
  <c r="T85" i="1"/>
  <c r="AK85" i="1" s="1"/>
  <c r="T69" i="1"/>
  <c r="AK69" i="1" s="1"/>
  <c r="T53" i="1"/>
  <c r="AK53" i="1" s="1"/>
  <c r="T37" i="1"/>
  <c r="T21" i="1"/>
  <c r="T5" i="1"/>
  <c r="AK5" i="1" s="1"/>
  <c r="U126" i="1"/>
  <c r="AL126" i="1" s="1"/>
  <c r="U110" i="1"/>
  <c r="AL110" i="1" s="1"/>
  <c r="U94" i="1"/>
  <c r="U78" i="1"/>
  <c r="U62" i="1"/>
  <c r="AL62" i="1" s="1"/>
  <c r="U46" i="1"/>
  <c r="U30" i="1"/>
  <c r="AL30" i="1" s="1"/>
  <c r="U14" i="1"/>
  <c r="U125" i="1"/>
  <c r="U93" i="1"/>
  <c r="U61" i="1"/>
  <c r="AL61" i="1" s="1"/>
  <c r="U45" i="1"/>
  <c r="AL45" i="1" s="1"/>
  <c r="U29" i="1"/>
  <c r="U13" i="1"/>
  <c r="T131" i="1"/>
  <c r="T115" i="1"/>
  <c r="T99" i="1"/>
  <c r="AK99" i="1" s="1"/>
  <c r="T83" i="1"/>
  <c r="AK83" i="1" s="1"/>
  <c r="T67" i="1"/>
  <c r="AK67" i="1" s="1"/>
  <c r="T51" i="1"/>
  <c r="T35" i="1"/>
  <c r="T19" i="1"/>
  <c r="AK19" i="1" s="1"/>
  <c r="T3" i="1"/>
  <c r="AK3" i="1" s="1"/>
  <c r="U109" i="1"/>
  <c r="T114" i="1"/>
  <c r="AK114" i="1" s="1"/>
  <c r="T98" i="1"/>
  <c r="AK98" i="1" s="1"/>
  <c r="T82" i="1"/>
  <c r="T66" i="1"/>
  <c r="T50" i="1"/>
  <c r="T34" i="1"/>
  <c r="T18" i="1"/>
  <c r="AK18" i="1" s="1"/>
  <c r="T2" i="1"/>
  <c r="U77" i="1"/>
  <c r="T130" i="1"/>
  <c r="AK130" i="1" s="1"/>
  <c r="T24" i="1"/>
  <c r="AK24" i="1" s="1"/>
  <c r="T128" i="1"/>
  <c r="T112" i="1"/>
  <c r="T96" i="1"/>
  <c r="AK96" i="1" s="1"/>
  <c r="T80" i="1"/>
  <c r="T64" i="1"/>
  <c r="T48" i="1"/>
  <c r="T32" i="1"/>
  <c r="T16" i="1"/>
  <c r="AK16" i="1" s="1"/>
  <c r="T127" i="1"/>
  <c r="T95" i="1"/>
  <c r="T79" i="1"/>
  <c r="T63" i="1"/>
  <c r="T47" i="1"/>
  <c r="T31" i="1"/>
  <c r="T15" i="1"/>
  <c r="AK15" i="1" s="1"/>
  <c r="T126" i="1"/>
  <c r="AK126" i="1" s="1"/>
  <c r="T110" i="1"/>
  <c r="AK110" i="1" s="1"/>
  <c r="T94" i="1"/>
  <c r="T78" i="1"/>
  <c r="AK78" i="1" s="1"/>
  <c r="T62" i="1"/>
  <c r="AK62" i="1" s="1"/>
  <c r="T46" i="1"/>
  <c r="AK46" i="1" s="1"/>
  <c r="T30" i="1"/>
  <c r="T14" i="1"/>
  <c r="AK14" i="1" s="1"/>
  <c r="T140" i="1"/>
  <c r="T124" i="1"/>
  <c r="T92" i="1"/>
  <c r="T76" i="1"/>
  <c r="T60" i="1"/>
  <c r="T44" i="1"/>
  <c r="T28" i="1"/>
  <c r="T12" i="1"/>
  <c r="T11" i="1"/>
  <c r="T138" i="1"/>
  <c r="T122" i="1"/>
  <c r="T106" i="1"/>
  <c r="T90" i="1"/>
  <c r="T74" i="1"/>
  <c r="AK74" i="1" s="1"/>
  <c r="T58" i="1"/>
  <c r="AK58" i="1" s="1"/>
  <c r="T42" i="1"/>
  <c r="T26" i="1"/>
  <c r="T10" i="1"/>
  <c r="T137" i="1"/>
  <c r="T121" i="1"/>
  <c r="T105" i="1"/>
  <c r="T89" i="1"/>
  <c r="T73" i="1"/>
  <c r="T57" i="1"/>
  <c r="T41" i="1"/>
  <c r="AK41" i="1" s="1"/>
  <c r="T25" i="1"/>
  <c r="AK25" i="1" s="1"/>
  <c r="U133" i="1"/>
  <c r="U117" i="1"/>
  <c r="AL117" i="1" s="1"/>
  <c r="U101" i="1"/>
  <c r="U85" i="1"/>
  <c r="AL85" i="1" s="1"/>
  <c r="U69" i="1"/>
  <c r="AL69" i="1" s="1"/>
  <c r="U53" i="1"/>
  <c r="AL53" i="1" s="1"/>
  <c r="U37" i="1"/>
  <c r="AL37" i="1" s="1"/>
  <c r="U21" i="1"/>
  <c r="U5" i="1"/>
  <c r="AL5" i="1" s="1"/>
  <c r="T123" i="1"/>
  <c r="U131" i="1"/>
  <c r="U115" i="1"/>
  <c r="U99" i="1"/>
  <c r="AL99" i="1" s="1"/>
  <c r="U83" i="1"/>
  <c r="AL83" i="1" s="1"/>
  <c r="U67" i="1"/>
  <c r="AL67" i="1" s="1"/>
  <c r="U51" i="1"/>
  <c r="U35" i="1"/>
  <c r="U19" i="1"/>
  <c r="AL19" i="1" s="1"/>
  <c r="U3" i="1"/>
  <c r="AL3" i="1" s="1"/>
  <c r="T139" i="1"/>
  <c r="U130" i="1"/>
  <c r="AL130" i="1" s="1"/>
  <c r="U114" i="1"/>
  <c r="AL114" i="1" s="1"/>
  <c r="U98" i="1"/>
  <c r="AL98" i="1" s="1"/>
  <c r="U82" i="1"/>
  <c r="U66" i="1"/>
  <c r="U50" i="1"/>
  <c r="U34" i="1"/>
  <c r="U18" i="1"/>
  <c r="AL18" i="1" s="1"/>
  <c r="T116" i="1"/>
  <c r="T100" i="1"/>
  <c r="T84" i="1"/>
  <c r="T68" i="1"/>
  <c r="T52" i="1"/>
  <c r="T36" i="1"/>
  <c r="T20" i="1"/>
  <c r="T4" i="1"/>
  <c r="U139" i="1"/>
  <c r="U123" i="1"/>
  <c r="U107" i="1"/>
  <c r="AL107" i="1" s="1"/>
  <c r="U91" i="1"/>
  <c r="U75" i="1"/>
  <c r="U59" i="1"/>
  <c r="U43" i="1"/>
  <c r="U27" i="1"/>
  <c r="U11" i="1"/>
  <c r="U122" i="1"/>
  <c r="U106" i="1"/>
  <c r="U90" i="1"/>
  <c r="U74" i="1"/>
  <c r="AL74" i="1" s="1"/>
  <c r="U58" i="1"/>
  <c r="U42" i="1"/>
  <c r="U26" i="1"/>
  <c r="U10" i="1"/>
  <c r="AL10" i="1" s="1"/>
  <c r="U137" i="1"/>
  <c r="U121" i="1"/>
  <c r="U105" i="1"/>
  <c r="U89" i="1"/>
  <c r="U73" i="1"/>
  <c r="U57" i="1"/>
  <c r="AL57" i="1" s="1"/>
  <c r="U41" i="1"/>
  <c r="AL41" i="1" s="1"/>
  <c r="U25" i="1"/>
  <c r="AL25" i="1" s="1"/>
  <c r="U9" i="1"/>
  <c r="U136" i="1"/>
  <c r="U120" i="1"/>
  <c r="U104" i="1"/>
  <c r="U88" i="1"/>
  <c r="U72" i="1"/>
  <c r="AL72" i="1" s="1"/>
  <c r="U56" i="1"/>
  <c r="U40" i="1"/>
  <c r="AL40" i="1" s="1"/>
  <c r="U24" i="1"/>
  <c r="AL24" i="1" s="1"/>
  <c r="U8" i="1"/>
  <c r="AE106" i="1"/>
  <c r="AE73" i="1"/>
  <c r="AE57" i="1"/>
  <c r="BJ107" i="1" l="1"/>
  <c r="BI59" i="1"/>
  <c r="BI116" i="1"/>
  <c r="BJ81" i="1"/>
  <c r="AC108" i="1"/>
  <c r="AC111" i="1"/>
  <c r="AF108" i="1"/>
  <c r="AE24" i="1"/>
  <c r="AO119" i="1"/>
  <c r="Z35" i="1"/>
  <c r="AB35" i="1" s="1"/>
  <c r="Z84" i="1"/>
  <c r="T113" i="1"/>
  <c r="BJ89" i="1"/>
  <c r="BI75" i="1"/>
  <c r="BI48" i="1"/>
  <c r="BJ120" i="1"/>
  <c r="BJ97" i="1"/>
  <c r="AH95" i="1"/>
  <c r="AC122" i="1"/>
  <c r="AQ102" i="1"/>
  <c r="W113" i="1"/>
  <c r="AI122" i="1"/>
  <c r="AO122" i="1" s="1"/>
  <c r="BJ105" i="1"/>
  <c r="BJ48" i="1"/>
  <c r="AC84" i="1"/>
  <c r="AC39" i="1"/>
  <c r="BI10" i="1"/>
  <c r="BI96" i="1"/>
  <c r="BJ80" i="1"/>
  <c r="BJ39" i="1"/>
  <c r="AC113" i="1"/>
  <c r="AC35" i="1"/>
  <c r="AF122" i="1"/>
  <c r="AH122" i="1" s="1"/>
  <c r="AI84" i="1"/>
  <c r="V113" i="1"/>
  <c r="AI35" i="1"/>
  <c r="BJ10" i="1"/>
  <c r="BI112" i="1"/>
  <c r="BI83" i="1"/>
  <c r="BI53" i="1"/>
  <c r="BJ53" i="1" s="1"/>
  <c r="BJ96" i="1"/>
  <c r="Z108" i="1"/>
  <c r="Z111" i="1"/>
  <c r="W122" i="1"/>
  <c r="AN122" i="1" s="1"/>
  <c r="AF35" i="1"/>
  <c r="BJ26" i="1"/>
  <c r="BI42" i="1"/>
  <c r="BJ42" i="1" s="1"/>
  <c r="BJ112" i="1"/>
  <c r="BJ128" i="1"/>
  <c r="BJ36" i="1"/>
  <c r="AH38" i="1"/>
  <c r="W39" i="1"/>
  <c r="AI39" i="1"/>
  <c r="BJ70" i="1"/>
  <c r="BI2" i="1"/>
  <c r="BJ2" i="1"/>
  <c r="BJ90" i="1"/>
  <c r="BJ52" i="1"/>
  <c r="AL35" i="1"/>
  <c r="AO108" i="1"/>
  <c r="AQ114" i="1"/>
  <c r="Z39" i="1"/>
  <c r="W111" i="1"/>
  <c r="AI113" i="1"/>
  <c r="AR113" i="1" s="1"/>
  <c r="BJ86" i="1"/>
  <c r="BJ58" i="1"/>
  <c r="BJ92" i="1"/>
  <c r="BI74" i="1"/>
  <c r="BI18" i="1"/>
  <c r="BI131" i="1"/>
  <c r="BJ131" i="1" s="1"/>
  <c r="BI101" i="1"/>
  <c r="BJ101" i="1" s="1"/>
  <c r="BJ45" i="1"/>
  <c r="BJ18" i="1"/>
  <c r="BJ17" i="1"/>
  <c r="BJ103" i="1"/>
  <c r="BI87" i="1"/>
  <c r="BJ87" i="1" s="1"/>
  <c r="BJ106" i="1"/>
  <c r="AL122" i="1"/>
  <c r="W108" i="1"/>
  <c r="AN108" i="1" s="1"/>
  <c r="AF113" i="1"/>
  <c r="AN127" i="1"/>
  <c r="AI108" i="1"/>
  <c r="AR108" i="1" s="1"/>
  <c r="BJ74" i="1"/>
  <c r="BJ108" i="1"/>
  <c r="BI90" i="1"/>
  <c r="BI34" i="1"/>
  <c r="BJ34" i="1" s="1"/>
  <c r="BI4" i="1"/>
  <c r="BJ4" i="1" s="1"/>
  <c r="BJ61" i="1"/>
  <c r="BJ3" i="1"/>
  <c r="BJ119" i="1"/>
  <c r="BI135" i="1"/>
  <c r="BJ122" i="1"/>
  <c r="BJ84" i="1"/>
  <c r="T111" i="1"/>
  <c r="AN114" i="1"/>
  <c r="W84" i="1"/>
  <c r="BJ124" i="1"/>
  <c r="BI106" i="1"/>
  <c r="BI50" i="1"/>
  <c r="BI20" i="1"/>
  <c r="BJ20" i="1" s="1"/>
  <c r="BJ77" i="1"/>
  <c r="BJ50" i="1"/>
  <c r="BJ8" i="1"/>
  <c r="BJ135" i="1"/>
  <c r="BJ100" i="1"/>
  <c r="AK122" i="1"/>
  <c r="BJ134" i="1"/>
  <c r="BJ93" i="1"/>
  <c r="BJ24" i="1"/>
  <c r="BJ35" i="1"/>
  <c r="BJ136" i="1"/>
  <c r="BJ116" i="1"/>
  <c r="AE108" i="1"/>
  <c r="AR123" i="1"/>
  <c r="AL119" i="1"/>
  <c r="BJ43" i="1"/>
  <c r="BI138" i="1"/>
  <c r="BJ138" i="1" s="1"/>
  <c r="BI89" i="1"/>
  <c r="BJ40" i="1"/>
  <c r="BJ51" i="1"/>
  <c r="BI47" i="1"/>
  <c r="BJ47" i="1" s="1"/>
  <c r="AE111" i="1"/>
  <c r="AH44" i="1"/>
  <c r="AQ119" i="1"/>
  <c r="BJ25" i="1"/>
  <c r="BJ59" i="1"/>
  <c r="BJ29" i="1"/>
  <c r="BI11" i="1"/>
  <c r="BJ11" i="1" s="1"/>
  <c r="BI124" i="1"/>
  <c r="BI105" i="1"/>
  <c r="BJ125" i="1"/>
  <c r="BJ98" i="1"/>
  <c r="BJ56" i="1"/>
  <c r="BJ67" i="1"/>
  <c r="BJ33" i="1"/>
  <c r="AR122" i="1"/>
  <c r="BJ75" i="1"/>
  <c r="BJ15" i="1"/>
  <c r="BI121" i="1"/>
  <c r="BJ121" i="1" s="1"/>
  <c r="BJ114" i="1"/>
  <c r="BJ72" i="1"/>
  <c r="BJ83" i="1"/>
  <c r="BI79" i="1"/>
  <c r="BJ79" i="1" s="1"/>
  <c r="BJ49" i="1"/>
  <c r="AL111" i="1"/>
  <c r="AO45" i="1"/>
  <c r="BJ130" i="1"/>
  <c r="BJ99" i="1"/>
  <c r="BJ65" i="1"/>
  <c r="BI32" i="1"/>
  <c r="BJ32" i="1" s="1"/>
  <c r="BI19" i="1"/>
  <c r="BJ19" i="1" s="1"/>
  <c r="BI132" i="1"/>
  <c r="BJ132" i="1" s="1"/>
  <c r="BI102" i="1"/>
  <c r="BJ102" i="1" s="1"/>
  <c r="BI65" i="1"/>
  <c r="BI67" i="1"/>
  <c r="BI37" i="1"/>
  <c r="BJ37" i="1" s="1"/>
  <c r="BI26" i="1"/>
  <c r="BI113" i="1"/>
  <c r="BJ113" i="1" s="1"/>
  <c r="BI9" i="1"/>
  <c r="BJ9" i="1" s="1"/>
  <c r="BI25" i="1"/>
  <c r="BI60" i="1"/>
  <c r="BJ60" i="1" s="1"/>
  <c r="BI57" i="1"/>
  <c r="BJ57" i="1" s="1"/>
  <c r="BI73" i="1"/>
  <c r="BJ73" i="1" s="1"/>
  <c r="BI108" i="1"/>
  <c r="AL39" i="1"/>
  <c r="BI117" i="1"/>
  <c r="BJ117" i="1" s="1"/>
  <c r="BI133" i="1"/>
  <c r="BJ133" i="1" s="1"/>
  <c r="BI66" i="1"/>
  <c r="BJ66" i="1" s="1"/>
  <c r="BI82" i="1"/>
  <c r="BJ82" i="1" s="1"/>
  <c r="BI52" i="1"/>
  <c r="BI22" i="1"/>
  <c r="BJ22" i="1" s="1"/>
  <c r="BI98" i="1"/>
  <c r="BI68" i="1"/>
  <c r="BJ68" i="1" s="1"/>
  <c r="BI38" i="1"/>
  <c r="BJ38" i="1" s="1"/>
  <c r="BI137" i="1"/>
  <c r="BJ137" i="1" s="1"/>
  <c r="BI3" i="1"/>
  <c r="BI123" i="1"/>
  <c r="BJ123" i="1" s="1"/>
  <c r="BI139" i="1"/>
  <c r="BJ139" i="1" s="1"/>
  <c r="AL101" i="1"/>
  <c r="AK117" i="1"/>
  <c r="AO12" i="1"/>
  <c r="AQ16" i="1"/>
  <c r="AO38" i="1"/>
  <c r="AR93" i="1"/>
  <c r="AO10" i="1"/>
  <c r="AQ38" i="1"/>
  <c r="AQ10" i="1"/>
  <c r="AR101" i="1"/>
  <c r="AO50" i="1"/>
  <c r="AN10" i="1"/>
  <c r="AQ54" i="1"/>
  <c r="AR117" i="1"/>
  <c r="AL93" i="1"/>
  <c r="AQ11" i="1"/>
  <c r="AN117" i="1"/>
  <c r="AK93" i="1"/>
  <c r="AO136" i="1"/>
  <c r="Y46" i="1"/>
  <c r="AK136" i="1"/>
  <c r="AO79" i="1"/>
  <c r="AO131" i="1"/>
  <c r="AL128" i="1"/>
  <c r="AK11" i="1"/>
  <c r="AQ136" i="1"/>
  <c r="AK56" i="1"/>
  <c r="AQ121" i="1"/>
  <c r="AO93" i="1"/>
  <c r="AO28" i="1"/>
  <c r="AN38" i="1"/>
  <c r="AN12" i="1"/>
  <c r="AN94" i="1"/>
  <c r="AN16" i="1"/>
  <c r="AQ101" i="1"/>
  <c r="AN54" i="1"/>
  <c r="AR136" i="1"/>
  <c r="AQ79" i="1"/>
  <c r="AQ50" i="1"/>
  <c r="AN28" i="1"/>
  <c r="AQ117" i="1"/>
  <c r="AQ56" i="1"/>
  <c r="AN101" i="1"/>
  <c r="AN56" i="1"/>
  <c r="AR11" i="1"/>
  <c r="AQ128" i="1"/>
  <c r="AN11" i="1"/>
  <c r="AO16" i="1"/>
  <c r="AR16" i="1"/>
  <c r="AL131" i="1"/>
  <c r="AN50" i="1"/>
  <c r="AQ94" i="1"/>
  <c r="AL12" i="1"/>
  <c r="AR128" i="1"/>
  <c r="AL16" i="1"/>
  <c r="AR10" i="1"/>
  <c r="AQ131" i="1"/>
  <c r="AN79" i="1"/>
  <c r="AL28" i="1"/>
  <c r="AO54" i="1"/>
  <c r="AK131" i="1"/>
  <c r="AO128" i="1"/>
  <c r="AR79" i="1"/>
  <c r="AK101" i="1"/>
  <c r="AL11" i="1"/>
  <c r="AK10" i="1"/>
  <c r="AR38" i="1"/>
  <c r="AR131" i="1"/>
  <c r="AL56" i="1"/>
  <c r="AN131" i="1"/>
  <c r="AQ93" i="1"/>
  <c r="AN136" i="1"/>
  <c r="AN128" i="1"/>
  <c r="AO11" i="1"/>
  <c r="AR56" i="1"/>
  <c r="AL94" i="1"/>
  <c r="AR54" i="1"/>
  <c r="AR12" i="1"/>
  <c r="AO56" i="1"/>
  <c r="AE10" i="1"/>
  <c r="AN29" i="1"/>
  <c r="AE105" i="1"/>
  <c r="AR29" i="1"/>
  <c r="AK29" i="1"/>
  <c r="AO29" i="1"/>
  <c r="AB23" i="1"/>
  <c r="AR3" i="1"/>
  <c r="AE136" i="1"/>
  <c r="AH97" i="1"/>
  <c r="AL21" i="1"/>
  <c r="AK37" i="1"/>
  <c r="AL48" i="1"/>
  <c r="AR39" i="1"/>
  <c r="AR25" i="1"/>
  <c r="AR42" i="1"/>
  <c r="AR75" i="1"/>
  <c r="AQ97" i="1"/>
  <c r="AN75" i="1"/>
  <c r="AO15" i="1"/>
  <c r="AQ55" i="1"/>
  <c r="AR21" i="1"/>
  <c r="AN21" i="1"/>
  <c r="AR55" i="1"/>
  <c r="AN87" i="1"/>
  <c r="AR91" i="1"/>
  <c r="AN91" i="1"/>
  <c r="AN124" i="1"/>
  <c r="AR37" i="1"/>
  <c r="AK21" i="1"/>
  <c r="AK42" i="1"/>
  <c r="AE14" i="1"/>
  <c r="AN116" i="1"/>
  <c r="AR87" i="1"/>
  <c r="AK75" i="1"/>
  <c r="AQ25" i="1"/>
  <c r="AR9" i="1"/>
  <c r="AN132" i="1"/>
  <c r="AK91" i="1"/>
  <c r="AO55" i="1"/>
  <c r="AN15" i="1"/>
  <c r="AK48" i="1"/>
  <c r="AO97" i="1"/>
  <c r="AH80" i="1"/>
  <c r="AN14" i="1"/>
  <c r="AK87" i="1"/>
  <c r="AL58" i="1"/>
  <c r="AK64" i="1"/>
  <c r="AL14" i="1"/>
  <c r="AR97" i="1"/>
  <c r="AO113" i="1"/>
  <c r="AO91" i="1"/>
  <c r="AL42" i="1"/>
  <c r="AQ15" i="1"/>
  <c r="AO132" i="1"/>
  <c r="AQ48" i="1"/>
  <c r="AE41" i="1"/>
  <c r="AQ21" i="1"/>
  <c r="AQ14" i="1"/>
  <c r="AN9" i="1"/>
  <c r="AQ64" i="1"/>
  <c r="AN42" i="1"/>
  <c r="AH46" i="1"/>
  <c r="AO58" i="1"/>
  <c r="AQ58" i="1"/>
  <c r="AQ37" i="1"/>
  <c r="AQ75" i="1"/>
  <c r="AN58" i="1"/>
  <c r="AR124" i="1"/>
  <c r="AH87" i="1"/>
  <c r="AH103" i="1"/>
  <c r="AR15" i="1"/>
  <c r="AQ132" i="1"/>
  <c r="AO124" i="1"/>
  <c r="AR116" i="1"/>
  <c r="AH57" i="1"/>
  <c r="AR132" i="1"/>
  <c r="AH138" i="1"/>
  <c r="AO25" i="1"/>
  <c r="AN64" i="1"/>
  <c r="AR64" i="1"/>
  <c r="AE59" i="1"/>
  <c r="AK133" i="1"/>
  <c r="AL133" i="1"/>
  <c r="AR133" i="1"/>
  <c r="AN133" i="1"/>
  <c r="AE86" i="1"/>
  <c r="AE102" i="1"/>
  <c r="AL46" i="1"/>
  <c r="AH120" i="1"/>
  <c r="AH139" i="1"/>
  <c r="AH105" i="1"/>
  <c r="AL13" i="1"/>
  <c r="AH70" i="1"/>
  <c r="AH113" i="1"/>
  <c r="AL60" i="1"/>
  <c r="AH73" i="1"/>
  <c r="AE30" i="1"/>
  <c r="AL7" i="1"/>
  <c r="AR2" i="1"/>
  <c r="AO2" i="1"/>
  <c r="AL108" i="1"/>
  <c r="AQ2" i="1"/>
  <c r="AL2" i="1"/>
  <c r="AL106" i="1"/>
  <c r="AN113" i="1"/>
  <c r="AE129" i="1"/>
  <c r="AE48" i="1"/>
  <c r="AE52" i="1"/>
  <c r="AE87" i="1"/>
  <c r="AQ123" i="1"/>
  <c r="AE32" i="1"/>
  <c r="AE91" i="1"/>
  <c r="AE7" i="1"/>
  <c r="AN73" i="1"/>
  <c r="AK73" i="1"/>
  <c r="AE122" i="1"/>
  <c r="AO73" i="1"/>
  <c r="AL73" i="1"/>
  <c r="AQ73" i="1"/>
  <c r="AH125" i="1"/>
  <c r="AQ39" i="1"/>
  <c r="AH84" i="1"/>
  <c r="AL87" i="1"/>
  <c r="AQ87" i="1"/>
  <c r="AQ9" i="1"/>
  <c r="AO39" i="1"/>
  <c r="AK32" i="1"/>
  <c r="AH64" i="1"/>
  <c r="AO75" i="1"/>
  <c r="AO116" i="1"/>
  <c r="AO87" i="1"/>
  <c r="AE25" i="1"/>
  <c r="AL23" i="1"/>
  <c r="AH30" i="1"/>
  <c r="AO42" i="1"/>
  <c r="AQ42" i="1"/>
  <c r="AN97" i="1"/>
  <c r="AQ116" i="1"/>
  <c r="AR100" i="1"/>
  <c r="AH41" i="1"/>
  <c r="AH106" i="1"/>
  <c r="AE134" i="1"/>
  <c r="Y125" i="1"/>
  <c r="AM125" i="1" s="1"/>
  <c r="AE90" i="1"/>
  <c r="AB95" i="1"/>
  <c r="AP95" i="1" s="1"/>
  <c r="AO9" i="1"/>
  <c r="AN48" i="1"/>
  <c r="AR48" i="1"/>
  <c r="AL59" i="1"/>
  <c r="AN88" i="1"/>
  <c r="AN109" i="1"/>
  <c r="AQ49" i="1"/>
  <c r="AR23" i="1"/>
  <c r="AR59" i="1"/>
  <c r="AQ81" i="1"/>
  <c r="AN59" i="1"/>
  <c r="AL32" i="1"/>
  <c r="AL105" i="1"/>
  <c r="AE93" i="1"/>
  <c r="AN68" i="1"/>
  <c r="AN120" i="1"/>
  <c r="AK23" i="1"/>
  <c r="AN51" i="1"/>
  <c r="AH16" i="1"/>
  <c r="AR51" i="1"/>
  <c r="AH102" i="1"/>
  <c r="AN100" i="1"/>
  <c r="AK59" i="1"/>
  <c r="AQ109" i="1"/>
  <c r="AR49" i="1"/>
  <c r="AO51" i="1"/>
  <c r="AO68" i="1"/>
  <c r="AO81" i="1"/>
  <c r="AO88" i="1"/>
  <c r="AR27" i="1"/>
  <c r="Y61" i="1"/>
  <c r="AM61" i="1" s="1"/>
  <c r="AR81" i="1"/>
  <c r="AR105" i="1"/>
  <c r="AO100" i="1"/>
  <c r="AL88" i="1"/>
  <c r="AL109" i="1"/>
  <c r="AQ88" i="1"/>
  <c r="AQ32" i="1"/>
  <c r="AR109" i="1"/>
  <c r="AH39" i="1"/>
  <c r="AQ68" i="1"/>
  <c r="AQ27" i="1"/>
  <c r="AL51" i="1"/>
  <c r="AQ120" i="1"/>
  <c r="AE49" i="1"/>
  <c r="AR88" i="1"/>
  <c r="AH58" i="1"/>
  <c r="AK109" i="1"/>
  <c r="AH108" i="1"/>
  <c r="AQ105" i="1"/>
  <c r="AK105" i="1"/>
  <c r="AE139" i="1"/>
  <c r="AR68" i="1"/>
  <c r="AQ51" i="1"/>
  <c r="AK51" i="1"/>
  <c r="AE39" i="1"/>
  <c r="AR120" i="1"/>
  <c r="AH27" i="1"/>
  <c r="AO109" i="1"/>
  <c r="AQ23" i="1"/>
  <c r="AN35" i="1"/>
  <c r="AO23" i="1"/>
  <c r="AO59" i="1"/>
  <c r="AO120" i="1"/>
  <c r="AK120" i="1"/>
  <c r="AQ104" i="1"/>
  <c r="AK125" i="1"/>
  <c r="AN81" i="1"/>
  <c r="AK35" i="1"/>
  <c r="AQ100" i="1"/>
  <c r="AR84" i="1"/>
  <c r="AB112" i="1"/>
  <c r="AP112" i="1" s="1"/>
  <c r="AN32" i="1"/>
  <c r="AR32" i="1"/>
  <c r="AL43" i="1"/>
  <c r="AQ7" i="1"/>
  <c r="AR7" i="1"/>
  <c r="AR43" i="1"/>
  <c r="AQ65" i="1"/>
  <c r="AN43" i="1"/>
  <c r="AN104" i="1"/>
  <c r="AN125" i="1"/>
  <c r="AR35" i="1"/>
  <c r="AK43" i="1"/>
  <c r="AO7" i="1"/>
  <c r="AO35" i="1"/>
  <c r="AO65" i="1"/>
  <c r="AO43" i="1"/>
  <c r="AR65" i="1"/>
  <c r="AL125" i="1"/>
  <c r="AO104" i="1"/>
  <c r="AK104" i="1"/>
  <c r="AB57" i="1"/>
  <c r="AP57" i="1" s="1"/>
  <c r="AE79" i="1"/>
  <c r="AK106" i="1"/>
  <c r="AN65" i="1"/>
  <c r="AE33" i="1"/>
  <c r="AR125" i="1"/>
  <c r="AQ84" i="1"/>
  <c r="AR104" i="1"/>
  <c r="AO106" i="1"/>
  <c r="AQ106" i="1"/>
  <c r="AQ125" i="1"/>
  <c r="AO125" i="1"/>
  <c r="AL70" i="1"/>
  <c r="AM46" i="1"/>
  <c r="AE17" i="1"/>
  <c r="AO26" i="1"/>
  <c r="AQ26" i="1"/>
  <c r="AO66" i="1"/>
  <c r="AR137" i="1"/>
  <c r="AH63" i="1"/>
  <c r="AN46" i="1"/>
  <c r="AE110" i="1"/>
  <c r="AN13" i="1"/>
  <c r="AL36" i="1"/>
  <c r="AE82" i="1"/>
  <c r="AQ46" i="1"/>
  <c r="AQ137" i="1"/>
  <c r="AL52" i="1"/>
  <c r="AL68" i="1"/>
  <c r="AK49" i="1"/>
  <c r="AQ13" i="1"/>
  <c r="AQ66" i="1"/>
  <c r="AL84" i="1"/>
  <c r="AL100" i="1"/>
  <c r="AK81" i="1"/>
  <c r="AN66" i="1"/>
  <c r="AH65" i="1"/>
  <c r="AL116" i="1"/>
  <c r="AK97" i="1"/>
  <c r="AK9" i="1"/>
  <c r="AH6" i="1"/>
  <c r="AL66" i="1"/>
  <c r="AK137" i="1"/>
  <c r="AL132" i="1"/>
  <c r="AK113" i="1"/>
  <c r="AB10" i="1"/>
  <c r="AP10" i="1" s="1"/>
  <c r="AN137" i="1"/>
  <c r="AR13" i="1"/>
  <c r="AR46" i="1"/>
  <c r="AO46" i="1"/>
  <c r="AL4" i="1"/>
  <c r="AL20" i="1"/>
  <c r="AL137" i="1"/>
  <c r="AK13" i="1"/>
  <c r="AH12" i="1"/>
  <c r="AE76" i="1"/>
  <c r="AK66" i="1"/>
  <c r="AO137" i="1"/>
  <c r="AO13" i="1"/>
  <c r="AL54" i="1"/>
  <c r="AQ92" i="1"/>
  <c r="AQ33" i="1"/>
  <c r="AN89" i="1"/>
  <c r="AL115" i="1"/>
  <c r="AK115" i="1"/>
  <c r="AR63" i="1"/>
  <c r="AK89" i="1"/>
  <c r="AL89" i="1"/>
  <c r="AN52" i="1"/>
  <c r="AN92" i="1"/>
  <c r="AR115" i="1"/>
  <c r="AO33" i="1"/>
  <c r="AO89" i="1"/>
  <c r="AO52" i="1"/>
  <c r="AL92" i="1"/>
  <c r="AR33" i="1"/>
  <c r="AL63" i="1"/>
  <c r="AN63" i="1"/>
  <c r="AN33" i="1"/>
  <c r="AN115" i="1"/>
  <c r="AE11" i="1"/>
  <c r="AE74" i="1"/>
  <c r="AQ52" i="1"/>
  <c r="AE8" i="1"/>
  <c r="AL86" i="1"/>
  <c r="AO63" i="1"/>
  <c r="AO115" i="1"/>
  <c r="AR92" i="1"/>
  <c r="AQ89" i="1"/>
  <c r="AR52" i="1"/>
  <c r="AQ74" i="1"/>
  <c r="AL33" i="1"/>
  <c r="AO86" i="1"/>
  <c r="AQ86" i="1"/>
  <c r="AQ47" i="1"/>
  <c r="AN86" i="1"/>
  <c r="AQ111" i="1"/>
  <c r="AR47" i="1"/>
  <c r="AH17" i="1"/>
  <c r="AR114" i="1"/>
  <c r="AO76" i="1"/>
  <c r="AO111" i="1"/>
  <c r="AQ76" i="1"/>
  <c r="AN76" i="1"/>
  <c r="AK76" i="1"/>
  <c r="AP42" i="1"/>
  <c r="AE119" i="1"/>
  <c r="AN111" i="1"/>
  <c r="AN47" i="1"/>
  <c r="AP23" i="1"/>
  <c r="AR111" i="1"/>
  <c r="AL76" i="1"/>
  <c r="AR34" i="1"/>
  <c r="AL47" i="1"/>
  <c r="AL22" i="1"/>
  <c r="AE42" i="1"/>
  <c r="AQ122" i="1"/>
  <c r="AR86" i="1"/>
  <c r="AP131" i="1"/>
  <c r="AQ138" i="1"/>
  <c r="AR18" i="1"/>
  <c r="AO44" i="1"/>
  <c r="AE43" i="1"/>
  <c r="AN26" i="1"/>
  <c r="AO70" i="1"/>
  <c r="AQ70" i="1"/>
  <c r="AO107" i="1"/>
  <c r="AR50" i="1"/>
  <c r="AO82" i="1"/>
  <c r="AQ31" i="1"/>
  <c r="AH79" i="1"/>
  <c r="AR98" i="1"/>
  <c r="AQ44" i="1"/>
  <c r="AK31" i="1"/>
  <c r="AN70" i="1"/>
  <c r="AQ95" i="1"/>
  <c r="AN44" i="1"/>
  <c r="AR31" i="1"/>
  <c r="AE126" i="1"/>
  <c r="AB3" i="1"/>
  <c r="AH22" i="1"/>
  <c r="AQ82" i="1"/>
  <c r="AJ113" i="1"/>
  <c r="Y120" i="1"/>
  <c r="AM120" i="1" s="1"/>
  <c r="AL31" i="1"/>
  <c r="AN82" i="1"/>
  <c r="AR26" i="1"/>
  <c r="AL44" i="1"/>
  <c r="AR95" i="1"/>
  <c r="AN95" i="1"/>
  <c r="AB58" i="1"/>
  <c r="AR58" i="1"/>
  <c r="AO31" i="1"/>
  <c r="AR70" i="1"/>
  <c r="AL6" i="1"/>
  <c r="AB121" i="1"/>
  <c r="AR121" i="1"/>
  <c r="AE95" i="1"/>
  <c r="AB73" i="1"/>
  <c r="AR73" i="1"/>
  <c r="AH28" i="1"/>
  <c r="AH81" i="1"/>
  <c r="AE26" i="1"/>
  <c r="AE38" i="1"/>
  <c r="AB83" i="1"/>
  <c r="AR83" i="1"/>
  <c r="AR66" i="1"/>
  <c r="AK26" i="1"/>
  <c r="AK82" i="1"/>
  <c r="AL26" i="1"/>
  <c r="AB24" i="1"/>
  <c r="AR24" i="1"/>
  <c r="AB89" i="1"/>
  <c r="AR89" i="1"/>
  <c r="AB106" i="1"/>
  <c r="AR106" i="1"/>
  <c r="AR44" i="1"/>
  <c r="AR82" i="1"/>
  <c r="AR130" i="1"/>
  <c r="AL82" i="1"/>
  <c r="AL95" i="1"/>
  <c r="AN31" i="1"/>
  <c r="Y43" i="1"/>
  <c r="AM43" i="1" s="1"/>
  <c r="AK139" i="1"/>
  <c r="AE112" i="1"/>
  <c r="AO34" i="1"/>
  <c r="AH31" i="1"/>
  <c r="AQ57" i="1"/>
  <c r="AE78" i="1"/>
  <c r="AB12" i="1"/>
  <c r="AQ12" i="1"/>
  <c r="AO103" i="1"/>
  <c r="AB59" i="1"/>
  <c r="AQ59" i="1"/>
  <c r="AB28" i="1"/>
  <c r="AQ28" i="1"/>
  <c r="AN6" i="1"/>
  <c r="AN8" i="1"/>
  <c r="AN78" i="1"/>
  <c r="AO139" i="1"/>
  <c r="AB63" i="1"/>
  <c r="AQ63" i="1"/>
  <c r="AQ34" i="1"/>
  <c r="AB67" i="1"/>
  <c r="AQ67" i="1"/>
  <c r="AO90" i="1"/>
  <c r="AQ90" i="1"/>
  <c r="AL118" i="1"/>
  <c r="AE97" i="1"/>
  <c r="AN57" i="1"/>
  <c r="AN90" i="1"/>
  <c r="AL134" i="1"/>
  <c r="AB43" i="1"/>
  <c r="AQ43" i="1"/>
  <c r="AK57" i="1"/>
  <c r="AL78" i="1"/>
  <c r="AN34" i="1"/>
  <c r="AH136" i="1"/>
  <c r="AB78" i="1"/>
  <c r="AQ78" i="1"/>
  <c r="AH110" i="1"/>
  <c r="AB108" i="1"/>
  <c r="AQ108" i="1"/>
  <c r="AB29" i="1"/>
  <c r="AQ29" i="1"/>
  <c r="AB115" i="1"/>
  <c r="AQ115" i="1"/>
  <c r="AL97" i="1"/>
  <c r="AL34" i="1"/>
  <c r="AB45" i="1"/>
  <c r="AQ45" i="1"/>
  <c r="AQ139" i="1"/>
  <c r="AE44" i="1"/>
  <c r="AO8" i="1"/>
  <c r="AO57" i="1"/>
  <c r="AH121" i="1"/>
  <c r="AK34" i="1"/>
  <c r="AE109" i="1"/>
  <c r="AB8" i="1"/>
  <c r="AQ8" i="1"/>
  <c r="AN103" i="1"/>
  <c r="AO78" i="1"/>
  <c r="AL103" i="1"/>
  <c r="AB124" i="1"/>
  <c r="AN105" i="1"/>
  <c r="AL113" i="1"/>
  <c r="Y75" i="1"/>
  <c r="AM75" i="1" s="1"/>
  <c r="AH133" i="1"/>
  <c r="AH33" i="1"/>
  <c r="AL129" i="1"/>
  <c r="AN84" i="1"/>
  <c r="AO49" i="1"/>
  <c r="AO105" i="1"/>
  <c r="AO27" i="1"/>
  <c r="AO84" i="1"/>
  <c r="AN49" i="1"/>
  <c r="AL140" i="1"/>
  <c r="AK27" i="1"/>
  <c r="AH45" i="1"/>
  <c r="AJ49" i="1"/>
  <c r="AL102" i="1"/>
  <c r="AE9" i="1"/>
  <c r="AL49" i="1"/>
  <c r="AN3" i="1"/>
  <c r="AN102" i="1"/>
  <c r="AN121" i="1"/>
  <c r="AO3" i="1"/>
  <c r="V97" i="1"/>
  <c r="AN36" i="1"/>
  <c r="AO36" i="1"/>
  <c r="AM123" i="1"/>
  <c r="AN123" i="1"/>
  <c r="AO121" i="1"/>
  <c r="Y47" i="1"/>
  <c r="AM47" i="1" s="1"/>
  <c r="AO47" i="1"/>
  <c r="AL38" i="1"/>
  <c r="AO123" i="1"/>
  <c r="Y95" i="1"/>
  <c r="AM95" i="1" s="1"/>
  <c r="AO95" i="1"/>
  <c r="AO102" i="1"/>
  <c r="AE128" i="1"/>
  <c r="Y139" i="1"/>
  <c r="AM139" i="1" s="1"/>
  <c r="AN139" i="1"/>
  <c r="AB110" i="1"/>
  <c r="Y2" i="1"/>
  <c r="AN2" i="1"/>
  <c r="Y45" i="1"/>
  <c r="AN45" i="1"/>
  <c r="Y27" i="1"/>
  <c r="AM27" i="1" s="1"/>
  <c r="AN27" i="1"/>
  <c r="Y93" i="1"/>
  <c r="AM93" i="1" s="1"/>
  <c r="AN93" i="1"/>
  <c r="AK90" i="1"/>
  <c r="AH47" i="1"/>
  <c r="AK8" i="1"/>
  <c r="AL90" i="1"/>
  <c r="AE54" i="1"/>
  <c r="AL65" i="1"/>
  <c r="AH126" i="1"/>
  <c r="AL124" i="1"/>
  <c r="AL8" i="1"/>
  <c r="AK50" i="1"/>
  <c r="Y84" i="1"/>
  <c r="AM84" i="1" s="1"/>
  <c r="AH137" i="1"/>
  <c r="AE63" i="1"/>
  <c r="AH49" i="1"/>
  <c r="AL50" i="1"/>
  <c r="AL139" i="1"/>
  <c r="AE4" i="1"/>
  <c r="Y16" i="1"/>
  <c r="AM16" i="1" s="1"/>
  <c r="V81" i="1"/>
  <c r="AL81" i="1"/>
  <c r="V77" i="1"/>
  <c r="AL77" i="1"/>
  <c r="AK121" i="1"/>
  <c r="V75" i="1"/>
  <c r="AL75" i="1"/>
  <c r="V91" i="1"/>
  <c r="AL91" i="1"/>
  <c r="V9" i="1"/>
  <c r="AL9" i="1"/>
  <c r="V29" i="1"/>
  <c r="AL29" i="1"/>
  <c r="AL123" i="1"/>
  <c r="Y100" i="1"/>
  <c r="AM100" i="1" s="1"/>
  <c r="V27" i="1"/>
  <c r="AL27" i="1"/>
  <c r="AK123" i="1"/>
  <c r="AL121" i="1"/>
  <c r="V104" i="1"/>
  <c r="AL104" i="1"/>
  <c r="AH77" i="1"/>
  <c r="V120" i="1"/>
  <c r="AL120" i="1"/>
  <c r="V136" i="1"/>
  <c r="AL136" i="1"/>
  <c r="AB136" i="1"/>
  <c r="AL17" i="1"/>
  <c r="V47" i="1"/>
  <c r="AK47" i="1"/>
  <c r="Y122" i="1"/>
  <c r="AM122" i="1" s="1"/>
  <c r="AE104" i="1"/>
  <c r="AB7" i="1"/>
  <c r="AE120" i="1"/>
  <c r="AB128" i="1"/>
  <c r="V2" i="1"/>
  <c r="AK2" i="1"/>
  <c r="V79" i="1"/>
  <c r="AK79" i="1"/>
  <c r="V65" i="1"/>
  <c r="AK65" i="1"/>
  <c r="V102" i="1"/>
  <c r="AK102" i="1"/>
  <c r="V63" i="1"/>
  <c r="AK63" i="1"/>
  <c r="V92" i="1"/>
  <c r="AK92" i="1"/>
  <c r="V134" i="1"/>
  <c r="AK134" i="1"/>
  <c r="V7" i="1"/>
  <c r="AK7" i="1"/>
  <c r="V140" i="1"/>
  <c r="AK140" i="1"/>
  <c r="V127" i="1"/>
  <c r="AK127" i="1"/>
  <c r="V39" i="1"/>
  <c r="AK39" i="1"/>
  <c r="AH32" i="1"/>
  <c r="AH100" i="1"/>
  <c r="V44" i="1"/>
  <c r="AK44" i="1"/>
  <c r="V118" i="1"/>
  <c r="AK118" i="1"/>
  <c r="V95" i="1"/>
  <c r="AK95" i="1"/>
  <c r="V111" i="1"/>
  <c r="AK111" i="1"/>
  <c r="V55" i="1"/>
  <c r="AK55" i="1"/>
  <c r="V60" i="1"/>
  <c r="AK60" i="1"/>
  <c r="V108" i="1"/>
  <c r="AK108" i="1"/>
  <c r="V4" i="1"/>
  <c r="AK4" i="1"/>
  <c r="AK30" i="1"/>
  <c r="V71" i="1"/>
  <c r="AK71" i="1"/>
  <c r="V86" i="1"/>
  <c r="AK86" i="1"/>
  <c r="V124" i="1"/>
  <c r="AK124" i="1"/>
  <c r="V135" i="1"/>
  <c r="AK135" i="1"/>
  <c r="AH118" i="1"/>
  <c r="V20" i="1"/>
  <c r="AK20" i="1"/>
  <c r="AB72" i="1"/>
  <c r="V17" i="1"/>
  <c r="AK17" i="1"/>
  <c r="V103" i="1"/>
  <c r="AK103" i="1"/>
  <c r="AB48" i="1"/>
  <c r="V33" i="1"/>
  <c r="AK33" i="1"/>
  <c r="V6" i="1"/>
  <c r="AK6" i="1"/>
  <c r="V94" i="1"/>
  <c r="AK94" i="1"/>
  <c r="V132" i="1"/>
  <c r="AK132" i="1"/>
  <c r="AH43" i="1"/>
  <c r="V68" i="1"/>
  <c r="AK68" i="1"/>
  <c r="V138" i="1"/>
  <c r="AK138" i="1"/>
  <c r="V38" i="1"/>
  <c r="AK38" i="1"/>
  <c r="AH124" i="1"/>
  <c r="V52" i="1"/>
  <c r="AK52" i="1"/>
  <c r="V119" i="1"/>
  <c r="AK119" i="1"/>
  <c r="AH55" i="1"/>
  <c r="V112" i="1"/>
  <c r="AK112" i="1"/>
  <c r="V100" i="1"/>
  <c r="AK100" i="1"/>
  <c r="V128" i="1"/>
  <c r="AK128" i="1"/>
  <c r="V54" i="1"/>
  <c r="AK54" i="1"/>
  <c r="AH75" i="1"/>
  <c r="V36" i="1"/>
  <c r="AK36" i="1"/>
  <c r="V80" i="1"/>
  <c r="AK80" i="1"/>
  <c r="V22" i="1"/>
  <c r="AK22" i="1"/>
  <c r="V84" i="1"/>
  <c r="AK84" i="1"/>
  <c r="AH24" i="1"/>
  <c r="AH9" i="1"/>
  <c r="AH74" i="1"/>
  <c r="V12" i="1"/>
  <c r="AK12" i="1"/>
  <c r="V116" i="1"/>
  <c r="AK116" i="1"/>
  <c r="V28" i="1"/>
  <c r="AK28" i="1"/>
  <c r="V70" i="1"/>
  <c r="AK70" i="1"/>
  <c r="AE55" i="1"/>
  <c r="AK129" i="1"/>
  <c r="AE61" i="1"/>
  <c r="AH68" i="1"/>
  <c r="AB93" i="1"/>
  <c r="AH40" i="1"/>
  <c r="AE46" i="1"/>
  <c r="AE15" i="1"/>
  <c r="AE28" i="1"/>
  <c r="AE31" i="1"/>
  <c r="AB40" i="1"/>
  <c r="AH48" i="1"/>
  <c r="AH72" i="1"/>
  <c r="V32" i="1"/>
  <c r="V93" i="1"/>
  <c r="AH134" i="1"/>
  <c r="AH88" i="1"/>
  <c r="AH13" i="1"/>
  <c r="AH29" i="1"/>
  <c r="V109" i="1"/>
  <c r="AB88" i="1"/>
  <c r="AH14" i="1"/>
  <c r="AH71" i="1"/>
  <c r="AH59" i="1"/>
  <c r="AH109" i="1"/>
  <c r="AH25" i="1"/>
  <c r="AH90" i="1"/>
  <c r="AH140" i="1"/>
  <c r="AE13" i="1"/>
  <c r="AH91" i="1"/>
  <c r="AE71" i="1"/>
  <c r="V129" i="1"/>
  <c r="V45" i="1"/>
  <c r="V59" i="1"/>
  <c r="V13" i="1"/>
  <c r="V107" i="1"/>
  <c r="AB41" i="1"/>
  <c r="AB111" i="1"/>
  <c r="Y11" i="1"/>
  <c r="AM11" i="1" s="1"/>
  <c r="V139" i="1"/>
  <c r="AH132" i="1"/>
  <c r="V87" i="1"/>
  <c r="AH112" i="1"/>
  <c r="AH78" i="1"/>
  <c r="AH123" i="1"/>
  <c r="AH69" i="1"/>
  <c r="AH104" i="1"/>
  <c r="AH107" i="1"/>
  <c r="V96" i="1"/>
  <c r="AE29" i="1"/>
  <c r="AE45" i="1"/>
  <c r="AE12" i="1"/>
  <c r="AH89" i="1"/>
  <c r="V76" i="1"/>
  <c r="AH52" i="1"/>
  <c r="V105" i="1"/>
  <c r="AH36" i="1"/>
  <c r="V137" i="1"/>
  <c r="V15" i="1"/>
  <c r="V56" i="1"/>
  <c r="V88" i="1"/>
  <c r="AB104" i="1"/>
  <c r="AH5" i="1"/>
  <c r="AE23" i="1"/>
  <c r="Y12" i="1"/>
  <c r="AM12" i="1" s="1"/>
  <c r="AE138" i="1"/>
  <c r="AE70" i="1"/>
  <c r="AH53" i="1"/>
  <c r="AB137" i="1"/>
  <c r="AB90" i="1"/>
  <c r="AH98" i="1"/>
  <c r="Y109" i="1"/>
  <c r="AM109" i="1" s="1"/>
  <c r="AE72" i="1"/>
  <c r="AH4" i="1"/>
  <c r="AH101" i="1"/>
  <c r="AH114" i="1"/>
  <c r="AH3" i="1"/>
  <c r="AH85" i="1"/>
  <c r="AH130" i="1"/>
  <c r="AH19" i="1"/>
  <c r="AE16" i="1"/>
  <c r="AB49" i="1"/>
  <c r="AH20" i="1"/>
  <c r="AH35" i="1"/>
  <c r="AH135" i="1"/>
  <c r="V99" i="1"/>
  <c r="AH117" i="1"/>
  <c r="AH51" i="1"/>
  <c r="AH8" i="1"/>
  <c r="AH67" i="1"/>
  <c r="AH83" i="1"/>
  <c r="AH86" i="1"/>
  <c r="AH99" i="1"/>
  <c r="V31" i="1"/>
  <c r="AE123" i="1"/>
  <c r="AH56" i="1"/>
  <c r="AH115" i="1"/>
  <c r="V5" i="1"/>
  <c r="V14" i="1"/>
  <c r="V61" i="1"/>
  <c r="AH116" i="1"/>
  <c r="AH131" i="1"/>
  <c r="AH2" i="1"/>
  <c r="AH18" i="1"/>
  <c r="AH23" i="1"/>
  <c r="AH34" i="1"/>
  <c r="V78" i="1"/>
  <c r="AH42" i="1"/>
  <c r="AH92" i="1"/>
  <c r="AH61" i="1"/>
  <c r="AH50" i="1"/>
  <c r="AH21" i="1"/>
  <c r="AH66" i="1"/>
  <c r="AB120" i="1"/>
  <c r="AH11" i="1"/>
  <c r="AH37" i="1"/>
  <c r="AH93" i="1"/>
  <c r="AH82" i="1"/>
  <c r="V8" i="1"/>
  <c r="V23" i="1"/>
  <c r="AE80" i="1"/>
  <c r="Y69" i="1"/>
  <c r="AE135" i="1"/>
  <c r="Y124" i="1"/>
  <c r="AM124" i="1" s="1"/>
  <c r="V72" i="1"/>
  <c r="V3" i="1"/>
  <c r="V90" i="1"/>
  <c r="V48" i="1"/>
  <c r="V125" i="1"/>
  <c r="V30" i="1"/>
  <c r="V11" i="1"/>
  <c r="V16" i="1"/>
  <c r="V74" i="1"/>
  <c r="V46" i="1"/>
  <c r="V62" i="1"/>
  <c r="V64" i="1"/>
  <c r="V110" i="1"/>
  <c r="V43" i="1"/>
  <c r="V40" i="1"/>
  <c r="V10" i="1"/>
  <c r="V121" i="1"/>
  <c r="V115" i="1"/>
  <c r="AE107" i="1"/>
  <c r="V106" i="1"/>
  <c r="V18" i="1"/>
  <c r="V131" i="1"/>
  <c r="V21" i="1"/>
  <c r="V122" i="1"/>
  <c r="V34" i="1"/>
  <c r="V37" i="1"/>
  <c r="V50" i="1"/>
  <c r="V53" i="1"/>
  <c r="V66" i="1"/>
  <c r="V69" i="1"/>
  <c r="AE77" i="1"/>
  <c r="V82" i="1"/>
  <c r="V85" i="1"/>
  <c r="AE113" i="1"/>
  <c r="V98" i="1"/>
  <c r="V101" i="1"/>
  <c r="AE96" i="1"/>
  <c r="V114" i="1"/>
  <c r="V117" i="1"/>
  <c r="AE81" i="1"/>
  <c r="V133" i="1"/>
  <c r="AE36" i="1"/>
  <c r="V25" i="1"/>
  <c r="V19" i="1"/>
  <c r="V41" i="1"/>
  <c r="V35" i="1"/>
  <c r="AB99" i="1"/>
  <c r="Y77" i="1"/>
  <c r="AE84" i="1"/>
  <c r="V123" i="1"/>
  <c r="V57" i="1"/>
  <c r="V26" i="1"/>
  <c r="V126" i="1"/>
  <c r="V51" i="1"/>
  <c r="AB96" i="1"/>
  <c r="AE137" i="1"/>
  <c r="V73" i="1"/>
  <c r="V42" i="1"/>
  <c r="V24" i="1"/>
  <c r="V67" i="1"/>
  <c r="AB14" i="1"/>
  <c r="V89" i="1"/>
  <c r="V58" i="1"/>
  <c r="V130" i="1"/>
  <c r="V83" i="1"/>
  <c r="Y76" i="1"/>
  <c r="AM76" i="1" s="1"/>
  <c r="AE94" i="1"/>
  <c r="AB65" i="1"/>
  <c r="AB94" i="1"/>
  <c r="AB56" i="1"/>
  <c r="AE53" i="1"/>
  <c r="AE20" i="1"/>
  <c r="AE65" i="1"/>
  <c r="AE60" i="1"/>
  <c r="AE47" i="1"/>
  <c r="AE18" i="1"/>
  <c r="AE99" i="1"/>
  <c r="AE131" i="1"/>
  <c r="AE100" i="1"/>
  <c r="AE88" i="1"/>
  <c r="AE34" i="1"/>
  <c r="AE115" i="1"/>
  <c r="AE50" i="1"/>
  <c r="AE5" i="1"/>
  <c r="AE66" i="1"/>
  <c r="AE21" i="1"/>
  <c r="AE125" i="1"/>
  <c r="AB26" i="1"/>
  <c r="AE37" i="1"/>
  <c r="AE98" i="1"/>
  <c r="AE92" i="1"/>
  <c r="AE64" i="1"/>
  <c r="AE114" i="1"/>
  <c r="AE69" i="1"/>
  <c r="AE130" i="1"/>
  <c r="AE85" i="1"/>
  <c r="AE101" i="1"/>
  <c r="AB32" i="1"/>
  <c r="AE117" i="1"/>
  <c r="AE3" i="1"/>
  <c r="AE133" i="1"/>
  <c r="AE19" i="1"/>
  <c r="AE35" i="1"/>
  <c r="AE51" i="1"/>
  <c r="AE116" i="1"/>
  <c r="AE118" i="1"/>
  <c r="AE67" i="1"/>
  <c r="AE132" i="1"/>
  <c r="AB81" i="1"/>
  <c r="AB31" i="1"/>
  <c r="AE2" i="1"/>
  <c r="AE83" i="1"/>
  <c r="AB51" i="1"/>
  <c r="Y29" i="1"/>
  <c r="Y140" i="1"/>
  <c r="AM140" i="1" s="1"/>
  <c r="AB129" i="1"/>
  <c r="Y92" i="1"/>
  <c r="AM92" i="1" s="1"/>
  <c r="AB47" i="1"/>
  <c r="AB125" i="1"/>
  <c r="Y30" i="1"/>
  <c r="AM30" i="1" s="1"/>
  <c r="AB75" i="1"/>
  <c r="AB60" i="1"/>
  <c r="AB46" i="1"/>
  <c r="AT46" i="1" s="1"/>
  <c r="AB97" i="1"/>
  <c r="Y138" i="1"/>
  <c r="AM138" i="1" s="1"/>
  <c r="Y63" i="1"/>
  <c r="AM63" i="1" s="1"/>
  <c r="Y91" i="1"/>
  <c r="AM91" i="1" s="1"/>
  <c r="AB71" i="1"/>
  <c r="AB91" i="1"/>
  <c r="AB76" i="1"/>
  <c r="AB62" i="1"/>
  <c r="AB113" i="1"/>
  <c r="Y25" i="1"/>
  <c r="AM25" i="1" s="1"/>
  <c r="Y36" i="1"/>
  <c r="AM36" i="1" s="1"/>
  <c r="Y107" i="1"/>
  <c r="AM107" i="1" s="1"/>
  <c r="Y3" i="1"/>
  <c r="AM3" i="1" s="1"/>
  <c r="AB15" i="1"/>
  <c r="Y116" i="1"/>
  <c r="AM116" i="1" s="1"/>
  <c r="Y57" i="1"/>
  <c r="AM57" i="1" s="1"/>
  <c r="AB138" i="1"/>
  <c r="Y35" i="1"/>
  <c r="AM35" i="1" s="1"/>
  <c r="Y110" i="1"/>
  <c r="AM110" i="1" s="1"/>
  <c r="Y80" i="1"/>
  <c r="AM80" i="1" s="1"/>
  <c r="AB126" i="1"/>
  <c r="AB19" i="1"/>
  <c r="Y13" i="1"/>
  <c r="AM13" i="1" s="1"/>
  <c r="Y44" i="1"/>
  <c r="AM44" i="1" s="1"/>
  <c r="Y60" i="1"/>
  <c r="AM60" i="1" s="1"/>
  <c r="AB9" i="1"/>
  <c r="AB122" i="1"/>
  <c r="Y131" i="1"/>
  <c r="AM131" i="1" s="1"/>
  <c r="AB25" i="1"/>
  <c r="AB61" i="1"/>
  <c r="Y115" i="1"/>
  <c r="AM115" i="1" s="1"/>
  <c r="Y4" i="1"/>
  <c r="AM4" i="1" s="1"/>
  <c r="Y42" i="1"/>
  <c r="AM42" i="1" s="1"/>
  <c r="AB77" i="1"/>
  <c r="Y18" i="1"/>
  <c r="AM18" i="1" s="1"/>
  <c r="Y34" i="1"/>
  <c r="AM34" i="1" s="1"/>
  <c r="Y38" i="1"/>
  <c r="AM38" i="1" s="1"/>
  <c r="Y50" i="1"/>
  <c r="AM50" i="1" s="1"/>
  <c r="Y88" i="1"/>
  <c r="AM88" i="1" s="1"/>
  <c r="AB17" i="1"/>
  <c r="Y74" i="1"/>
  <c r="AM74" i="1" s="1"/>
  <c r="AB64" i="1"/>
  <c r="AB27" i="1"/>
  <c r="AB80" i="1"/>
  <c r="Y106" i="1"/>
  <c r="AM106" i="1" s="1"/>
  <c r="Y31" i="1"/>
  <c r="AM31" i="1" s="1"/>
  <c r="AB127" i="1"/>
  <c r="Y9" i="1"/>
  <c r="AM9" i="1" s="1"/>
  <c r="AB74" i="1"/>
  <c r="Y41" i="1"/>
  <c r="AM41" i="1" s="1"/>
  <c r="AB55" i="1"/>
  <c r="AB87" i="1"/>
  <c r="AB92" i="1"/>
  <c r="Y64" i="1"/>
  <c r="AM64" i="1" s="1"/>
  <c r="AB123" i="1"/>
  <c r="AT123" i="1" s="1"/>
  <c r="Y94" i="1"/>
  <c r="AM94" i="1" s="1"/>
  <c r="Y127" i="1"/>
  <c r="AM127" i="1" s="1"/>
  <c r="Y105" i="1"/>
  <c r="AM105" i="1" s="1"/>
  <c r="AB119" i="1"/>
  <c r="AB139" i="1"/>
  <c r="Y51" i="1"/>
  <c r="AM51" i="1" s="1"/>
  <c r="Y112" i="1"/>
  <c r="AM112" i="1" s="1"/>
  <c r="Y128" i="1"/>
  <c r="AM128" i="1" s="1"/>
  <c r="Y8" i="1"/>
  <c r="AM8" i="1" s="1"/>
  <c r="Y121" i="1"/>
  <c r="AM121" i="1" s="1"/>
  <c r="AB13" i="1"/>
  <c r="AB18" i="1"/>
  <c r="AT18" i="1" s="1"/>
  <c r="AB5" i="1"/>
  <c r="AB102" i="1"/>
  <c r="AB16" i="1"/>
  <c r="Y66" i="1"/>
  <c r="AM66" i="1" s="1"/>
  <c r="Y20" i="1"/>
  <c r="AM20" i="1" s="1"/>
  <c r="Y14" i="1"/>
  <c r="AM14" i="1" s="1"/>
  <c r="AB11" i="1"/>
  <c r="AB109" i="1"/>
  <c r="AB79" i="1"/>
  <c r="AB33" i="1"/>
  <c r="Y99" i="1"/>
  <c r="AM99" i="1" s="1"/>
  <c r="Y78" i="1"/>
  <c r="AM78" i="1" s="1"/>
  <c r="Y48" i="1"/>
  <c r="AM48" i="1" s="1"/>
  <c r="AB34" i="1"/>
  <c r="AB21" i="1"/>
  <c r="AB118" i="1"/>
  <c r="AB50" i="1"/>
  <c r="AB37" i="1"/>
  <c r="AB134" i="1"/>
  <c r="Y136" i="1"/>
  <c r="AM136" i="1" s="1"/>
  <c r="AB66" i="1"/>
  <c r="AB53" i="1"/>
  <c r="Y111" i="1"/>
  <c r="AM111" i="1" s="1"/>
  <c r="AB82" i="1"/>
  <c r="AB69" i="1"/>
  <c r="Y108" i="1"/>
  <c r="AM108" i="1" s="1"/>
  <c r="AB98" i="1"/>
  <c r="AB85" i="1"/>
  <c r="AB114" i="1"/>
  <c r="AB101" i="1"/>
  <c r="AB130" i="1"/>
  <c r="AB4" i="1"/>
  <c r="AB117" i="1"/>
  <c r="Y114" i="1"/>
  <c r="AM114" i="1" s="1"/>
  <c r="AB105" i="1"/>
  <c r="AB20" i="1"/>
  <c r="AB133" i="1"/>
  <c r="Y130" i="1"/>
  <c r="AM130" i="1" s="1"/>
  <c r="Y68" i="1"/>
  <c r="AM68" i="1" s="1"/>
  <c r="Y59" i="1"/>
  <c r="AM59" i="1" s="1"/>
  <c r="Y89" i="1"/>
  <c r="AM89" i="1" s="1"/>
  <c r="AB39" i="1"/>
  <c r="AB44" i="1"/>
  <c r="AB30" i="1"/>
  <c r="AB36" i="1"/>
  <c r="AB52" i="1"/>
  <c r="AB68" i="1"/>
  <c r="AB6" i="1"/>
  <c r="AB107" i="1"/>
  <c r="AB84" i="1"/>
  <c r="AB38" i="1"/>
  <c r="AB103" i="1"/>
  <c r="AB22" i="1"/>
  <c r="AB100" i="1"/>
  <c r="AT100" i="1" s="1"/>
  <c r="AB54" i="1"/>
  <c r="AB116" i="1"/>
  <c r="AB70" i="1"/>
  <c r="Y72" i="1"/>
  <c r="AM72" i="1" s="1"/>
  <c r="AB135" i="1"/>
  <c r="AB140" i="1"/>
  <c r="AB2" i="1"/>
  <c r="AB132" i="1"/>
  <c r="AB86" i="1"/>
  <c r="Y19" i="1"/>
  <c r="AM19" i="1" s="1"/>
  <c r="Y24" i="1"/>
  <c r="AM24" i="1" s="1"/>
  <c r="Y137" i="1"/>
  <c r="AM137" i="1" s="1"/>
  <c r="Y49" i="1"/>
  <c r="AM49" i="1" s="1"/>
  <c r="Y40" i="1"/>
  <c r="AM40" i="1" s="1"/>
  <c r="Y10" i="1"/>
  <c r="AM10" i="1" s="1"/>
  <c r="Y15" i="1"/>
  <c r="AM15" i="1" s="1"/>
  <c r="Y56" i="1"/>
  <c r="AM56" i="1" s="1"/>
  <c r="Y26" i="1"/>
  <c r="AM26" i="1" s="1"/>
  <c r="Y58" i="1"/>
  <c r="AM58" i="1" s="1"/>
  <c r="Y28" i="1"/>
  <c r="AM28" i="1" s="1"/>
  <c r="Y83" i="1"/>
  <c r="AM83" i="1" s="1"/>
  <c r="Y7" i="1"/>
  <c r="AM7" i="1" s="1"/>
  <c r="Y90" i="1"/>
  <c r="AM90" i="1" s="1"/>
  <c r="Y67" i="1"/>
  <c r="AM67" i="1" s="1"/>
  <c r="Y126" i="1"/>
  <c r="AM126" i="1" s="1"/>
  <c r="Y96" i="1"/>
  <c r="AM96" i="1" s="1"/>
  <c r="Y82" i="1"/>
  <c r="AM82" i="1" s="1"/>
  <c r="Y98" i="1"/>
  <c r="AM98" i="1" s="1"/>
  <c r="Y52" i="1"/>
  <c r="AM52" i="1" s="1"/>
  <c r="Y117" i="1"/>
  <c r="Y113" i="1"/>
  <c r="AM113" i="1" s="1"/>
  <c r="Y104" i="1"/>
  <c r="AM104" i="1" s="1"/>
  <c r="Y79" i="1"/>
  <c r="AM79" i="1" s="1"/>
  <c r="Y86" i="1"/>
  <c r="AM86" i="1" s="1"/>
  <c r="Y55" i="1"/>
  <c r="AM55" i="1" s="1"/>
  <c r="Y132" i="1"/>
  <c r="AM132" i="1" s="1"/>
  <c r="Y71" i="1"/>
  <c r="AM71" i="1" s="1"/>
  <c r="Y118" i="1"/>
  <c r="AM118" i="1" s="1"/>
  <c r="Y22" i="1"/>
  <c r="AM22" i="1" s="1"/>
  <c r="Y87" i="1"/>
  <c r="AM87" i="1" s="1"/>
  <c r="Y5" i="1"/>
  <c r="Y103" i="1"/>
  <c r="AM103" i="1" s="1"/>
  <c r="Y73" i="1"/>
  <c r="AM73" i="1" s="1"/>
  <c r="Y21" i="1"/>
  <c r="Y119" i="1"/>
  <c r="AM119" i="1" s="1"/>
  <c r="Y37" i="1"/>
  <c r="Y135" i="1"/>
  <c r="AM135" i="1" s="1"/>
  <c r="Y17" i="1"/>
  <c r="AM17" i="1" s="1"/>
  <c r="Y53" i="1"/>
  <c r="Y33" i="1"/>
  <c r="AM33" i="1" s="1"/>
  <c r="Y54" i="1"/>
  <c r="AM54" i="1" s="1"/>
  <c r="Y85" i="1"/>
  <c r="Y65" i="1"/>
  <c r="AM65" i="1" s="1"/>
  <c r="Y134" i="1"/>
  <c r="AM134" i="1" s="1"/>
  <c r="Y101" i="1"/>
  <c r="Y81" i="1"/>
  <c r="AM81" i="1" s="1"/>
  <c r="Y97" i="1"/>
  <c r="AM97" i="1" s="1"/>
  <c r="Y62" i="1"/>
  <c r="AM62" i="1" s="1"/>
  <c r="Y32" i="1"/>
  <c r="AM32" i="1" s="1"/>
  <c r="Y133" i="1"/>
  <c r="Y70" i="1"/>
  <c r="AM70" i="1" s="1"/>
  <c r="Y129" i="1"/>
  <c r="AM129" i="1" s="1"/>
  <c r="Y6" i="1"/>
  <c r="AM6" i="1" s="1"/>
  <c r="Y23" i="1"/>
  <c r="AM23" i="1" s="1"/>
  <c r="Y102" i="1"/>
  <c r="AM102" i="1" s="1"/>
  <c r="Y39" i="1"/>
  <c r="AM39" i="1" s="1"/>
  <c r="AQ113" i="1" l="1"/>
  <c r="AQ35" i="1"/>
  <c r="AN39" i="1"/>
  <c r="AV46" i="1"/>
  <c r="AT50" i="1"/>
  <c r="AT47" i="1"/>
  <c r="AT125" i="1"/>
  <c r="AT122" i="1"/>
  <c r="AT140" i="1"/>
  <c r="AV125" i="1"/>
  <c r="AT75" i="1"/>
  <c r="AT11" i="1"/>
  <c r="AT36" i="1"/>
  <c r="AT2" i="1"/>
  <c r="AT61" i="1"/>
  <c r="AT69" i="1"/>
  <c r="AT120" i="1"/>
  <c r="AT66" i="1"/>
  <c r="AT84" i="1"/>
  <c r="AV93" i="1"/>
  <c r="AT93" i="1"/>
  <c r="AT27" i="1"/>
  <c r="AT107" i="1"/>
  <c r="AV82" i="1"/>
  <c r="AV18" i="1"/>
  <c r="AV23" i="1"/>
  <c r="AV61" i="1"/>
  <c r="AV100" i="1"/>
  <c r="AT54" i="1"/>
  <c r="AT64" i="1"/>
  <c r="AT9" i="1"/>
  <c r="AV25" i="1"/>
  <c r="AV56" i="1"/>
  <c r="AV15" i="1"/>
  <c r="AT76" i="1"/>
  <c r="AV123" i="1"/>
  <c r="AV130" i="1"/>
  <c r="AV88" i="1"/>
  <c r="AV86" i="1"/>
  <c r="AV27" i="1"/>
  <c r="AV87" i="1"/>
  <c r="AV41" i="1"/>
  <c r="AT139" i="1"/>
  <c r="AV136" i="1"/>
  <c r="AV12" i="1"/>
  <c r="AV62" i="1"/>
  <c r="AV14" i="1"/>
  <c r="AV75" i="1"/>
  <c r="AV49" i="1"/>
  <c r="AV67" i="1"/>
  <c r="AV79" i="1"/>
  <c r="AV38" i="1"/>
  <c r="AV107" i="1"/>
  <c r="AV91" i="1"/>
  <c r="AV97" i="1"/>
  <c r="AV126" i="1"/>
  <c r="AV127" i="1"/>
  <c r="AT45" i="1"/>
  <c r="AV94" i="1"/>
  <c r="AV34" i="1"/>
  <c r="AV96" i="1"/>
  <c r="AV129" i="1"/>
  <c r="AV113" i="1"/>
  <c r="AV35" i="1"/>
  <c r="AV105" i="1"/>
  <c r="AV134" i="1"/>
  <c r="AV119" i="1"/>
  <c r="AT43" i="1"/>
  <c r="AV16" i="1"/>
  <c r="AV57" i="1"/>
  <c r="AV71" i="1"/>
  <c r="AV39" i="1"/>
  <c r="AV104" i="1"/>
  <c r="AV68" i="1"/>
  <c r="AV17" i="1"/>
  <c r="AV3" i="1"/>
  <c r="AT133" i="1"/>
  <c r="AV28" i="1"/>
  <c r="AV103" i="1"/>
  <c r="AV140" i="1"/>
  <c r="AV55" i="1"/>
  <c r="AV42" i="1"/>
  <c r="AV43" i="1"/>
  <c r="AV30" i="1"/>
  <c r="AV102" i="1"/>
  <c r="AM37" i="1"/>
  <c r="AV37" i="1"/>
  <c r="AM117" i="1"/>
  <c r="AV117" i="1"/>
  <c r="AM29" i="1"/>
  <c r="AV29" i="1"/>
  <c r="AV54" i="1"/>
  <c r="AV78" i="1"/>
  <c r="AV74" i="1"/>
  <c r="AV124" i="1"/>
  <c r="AV116" i="1"/>
  <c r="AV65" i="1"/>
  <c r="AV73" i="1"/>
  <c r="AV122" i="1"/>
  <c r="AV13" i="1"/>
  <c r="AV108" i="1"/>
  <c r="AT38" i="1"/>
  <c r="AV112" i="1"/>
  <c r="AV139" i="1"/>
  <c r="AV4" i="1"/>
  <c r="AV58" i="1"/>
  <c r="AV7" i="1"/>
  <c r="AV115" i="1"/>
  <c r="AV36" i="1"/>
  <c r="AV114" i="1"/>
  <c r="AV95" i="1"/>
  <c r="AV11" i="1"/>
  <c r="AV83" i="1"/>
  <c r="AV6" i="1"/>
  <c r="AV132" i="1"/>
  <c r="AV106" i="1"/>
  <c r="AV63" i="1"/>
  <c r="AV31" i="1"/>
  <c r="AM53" i="1"/>
  <c r="AV53" i="1"/>
  <c r="AM77" i="1"/>
  <c r="AV77" i="1"/>
  <c r="AV10" i="1"/>
  <c r="AV40" i="1"/>
  <c r="AV8" i="1"/>
  <c r="AV84" i="1"/>
  <c r="AV33" i="1"/>
  <c r="AV99" i="1"/>
  <c r="AV44" i="1"/>
  <c r="AM45" i="1"/>
  <c r="AV45" i="1"/>
  <c r="AV50" i="1"/>
  <c r="AV110" i="1"/>
  <c r="AV90" i="1"/>
  <c r="AV32" i="1"/>
  <c r="AV92" i="1"/>
  <c r="AV72" i="1"/>
  <c r="AV70" i="1"/>
  <c r="AM5" i="1"/>
  <c r="AV5" i="1"/>
  <c r="AT86" i="1"/>
  <c r="AT130" i="1"/>
  <c r="AM69" i="1"/>
  <c r="AV69" i="1"/>
  <c r="AV135" i="1"/>
  <c r="AV20" i="1"/>
  <c r="AV120" i="1"/>
  <c r="AV89" i="1"/>
  <c r="AV19" i="1"/>
  <c r="AM2" i="1"/>
  <c r="AV2" i="1"/>
  <c r="AV22" i="1"/>
  <c r="AV59" i="1"/>
  <c r="AV52" i="1"/>
  <c r="AV118" i="1"/>
  <c r="AV111" i="1"/>
  <c r="AV26" i="1"/>
  <c r="AM133" i="1"/>
  <c r="AV133" i="1"/>
  <c r="AM101" i="1"/>
  <c r="AV101" i="1"/>
  <c r="AT114" i="1"/>
  <c r="AV128" i="1"/>
  <c r="AV24" i="1"/>
  <c r="AV98" i="1"/>
  <c r="AV48" i="1"/>
  <c r="AV81" i="1"/>
  <c r="AV109" i="1"/>
  <c r="AV60" i="1"/>
  <c r="AV47" i="1"/>
  <c r="AV137" i="1"/>
  <c r="AM85" i="1"/>
  <c r="AV85" i="1"/>
  <c r="AM21" i="1"/>
  <c r="AV21" i="1"/>
  <c r="AT30" i="1"/>
  <c r="AV131" i="1"/>
  <c r="AV138" i="1"/>
  <c r="AV80" i="1"/>
  <c r="AV64" i="1"/>
  <c r="AV9" i="1"/>
  <c r="AV51" i="1"/>
  <c r="AV121" i="1"/>
  <c r="AV76" i="1"/>
  <c r="AV66" i="1"/>
  <c r="AJ126" i="1"/>
  <c r="AU126" i="1"/>
  <c r="AJ18" i="1"/>
  <c r="AU18" i="1"/>
  <c r="AJ125" i="1"/>
  <c r="AU125" i="1"/>
  <c r="AJ96" i="1"/>
  <c r="AU96" i="1"/>
  <c r="AJ45" i="1"/>
  <c r="AU45" i="1"/>
  <c r="AJ86" i="1"/>
  <c r="AU86" i="1"/>
  <c r="AU49" i="1"/>
  <c r="AJ6" i="1"/>
  <c r="AU6" i="1"/>
  <c r="AJ27" i="1"/>
  <c r="AU27" i="1"/>
  <c r="AJ26" i="1"/>
  <c r="AU26" i="1"/>
  <c r="AJ101" i="1"/>
  <c r="AU101" i="1"/>
  <c r="AJ106" i="1"/>
  <c r="AU106" i="1"/>
  <c r="AJ48" i="1"/>
  <c r="AU48" i="1"/>
  <c r="AJ129" i="1"/>
  <c r="AU129" i="1"/>
  <c r="AJ80" i="1"/>
  <c r="AU80" i="1"/>
  <c r="AJ52" i="1"/>
  <c r="AU52" i="1"/>
  <c r="AJ33" i="1"/>
  <c r="AU33" i="1"/>
  <c r="AJ118" i="1"/>
  <c r="AU118" i="1"/>
  <c r="AJ92" i="1"/>
  <c r="AU92" i="1"/>
  <c r="AJ95" i="1"/>
  <c r="AU95" i="1"/>
  <c r="AJ57" i="1"/>
  <c r="AU57" i="1"/>
  <c r="AJ98" i="1"/>
  <c r="AU98" i="1"/>
  <c r="AJ90" i="1"/>
  <c r="AU90" i="1"/>
  <c r="AJ93" i="1"/>
  <c r="AU93" i="1"/>
  <c r="AJ70" i="1"/>
  <c r="AU70" i="1"/>
  <c r="AJ71" i="1"/>
  <c r="AU71" i="1"/>
  <c r="AJ47" i="1"/>
  <c r="AU47" i="1"/>
  <c r="AJ5" i="1"/>
  <c r="AU5" i="1"/>
  <c r="AT16" i="1"/>
  <c r="AJ123" i="1"/>
  <c r="AU123" i="1"/>
  <c r="AJ115" i="1"/>
  <c r="AU115" i="1"/>
  <c r="AJ3" i="1"/>
  <c r="AU3" i="1"/>
  <c r="AJ31" i="1"/>
  <c r="AU31" i="1"/>
  <c r="AJ32" i="1"/>
  <c r="AU32" i="1"/>
  <c r="AJ36" i="1"/>
  <c r="AU36" i="1"/>
  <c r="AJ44" i="1"/>
  <c r="AU44" i="1"/>
  <c r="AJ63" i="1"/>
  <c r="AU63" i="1"/>
  <c r="AJ29" i="1"/>
  <c r="AU29" i="1"/>
  <c r="AJ83" i="1"/>
  <c r="AU83" i="1"/>
  <c r="AJ85" i="1"/>
  <c r="AU85" i="1"/>
  <c r="AJ121" i="1"/>
  <c r="AU121" i="1"/>
  <c r="AJ72" i="1"/>
  <c r="AU72" i="1"/>
  <c r="AJ88" i="1"/>
  <c r="AU88" i="1"/>
  <c r="AJ28" i="1"/>
  <c r="AU28" i="1"/>
  <c r="AJ38" i="1"/>
  <c r="AU38" i="1"/>
  <c r="AJ103" i="1"/>
  <c r="AU103" i="1"/>
  <c r="AT117" i="1"/>
  <c r="AT5" i="1"/>
  <c r="AT87" i="1"/>
  <c r="AJ130" i="1"/>
  <c r="AU130" i="1"/>
  <c r="AJ82" i="1"/>
  <c r="AU82" i="1"/>
  <c r="AJ10" i="1"/>
  <c r="AU10" i="1"/>
  <c r="AJ56" i="1"/>
  <c r="AU56" i="1"/>
  <c r="AJ4" i="1"/>
  <c r="AU4" i="1"/>
  <c r="AJ102" i="1"/>
  <c r="AU102" i="1"/>
  <c r="AJ9" i="1"/>
  <c r="AU9" i="1"/>
  <c r="AT29" i="1"/>
  <c r="AJ22" i="1"/>
  <c r="AU22" i="1"/>
  <c r="AJ58" i="1"/>
  <c r="AU58" i="1"/>
  <c r="AJ40" i="1"/>
  <c r="AU40" i="1"/>
  <c r="AJ78" i="1"/>
  <c r="AU78" i="1"/>
  <c r="AJ15" i="1"/>
  <c r="AU15" i="1"/>
  <c r="AJ116" i="1"/>
  <c r="AU116" i="1"/>
  <c r="AJ54" i="1"/>
  <c r="AU54" i="1"/>
  <c r="AJ138" i="1"/>
  <c r="AU138" i="1"/>
  <c r="AJ17" i="1"/>
  <c r="AU17" i="1"/>
  <c r="AJ136" i="1"/>
  <c r="AU136" i="1"/>
  <c r="AT21" i="1"/>
  <c r="AT13" i="1"/>
  <c r="AT31" i="1"/>
  <c r="AJ89" i="1"/>
  <c r="AU89" i="1"/>
  <c r="AJ35" i="1"/>
  <c r="AU35" i="1"/>
  <c r="AJ69" i="1"/>
  <c r="AU69" i="1"/>
  <c r="AJ43" i="1"/>
  <c r="AU43" i="1"/>
  <c r="AJ137" i="1"/>
  <c r="AU137" i="1"/>
  <c r="AJ87" i="1"/>
  <c r="AU87" i="1"/>
  <c r="AJ108" i="1"/>
  <c r="AU108" i="1"/>
  <c r="AJ39" i="1"/>
  <c r="AU39" i="1"/>
  <c r="AJ65" i="1"/>
  <c r="AU65" i="1"/>
  <c r="AJ91" i="1"/>
  <c r="AU91" i="1"/>
  <c r="AT132" i="1"/>
  <c r="AT52" i="1"/>
  <c r="AT74" i="1"/>
  <c r="AJ41" i="1"/>
  <c r="AU41" i="1"/>
  <c r="AJ66" i="1"/>
  <c r="AU66" i="1"/>
  <c r="AJ110" i="1"/>
  <c r="AU110" i="1"/>
  <c r="AJ12" i="1"/>
  <c r="AU12" i="1"/>
  <c r="AJ128" i="1"/>
  <c r="AU128" i="1"/>
  <c r="AJ68" i="1"/>
  <c r="AU68" i="1"/>
  <c r="AJ120" i="1"/>
  <c r="AU120" i="1"/>
  <c r="AJ30" i="1"/>
  <c r="AU30" i="1"/>
  <c r="AJ59" i="1"/>
  <c r="AU59" i="1"/>
  <c r="AJ67" i="1"/>
  <c r="AU67" i="1"/>
  <c r="AJ19" i="1"/>
  <c r="AU19" i="1"/>
  <c r="AJ53" i="1"/>
  <c r="AU53" i="1"/>
  <c r="AJ64" i="1"/>
  <c r="AU64" i="1"/>
  <c r="AJ23" i="1"/>
  <c r="AU23" i="1"/>
  <c r="AJ105" i="1"/>
  <c r="AU105" i="1"/>
  <c r="AJ139" i="1"/>
  <c r="AU139" i="1"/>
  <c r="AJ20" i="1"/>
  <c r="AU20" i="1"/>
  <c r="AJ60" i="1"/>
  <c r="AU60" i="1"/>
  <c r="AJ127" i="1"/>
  <c r="AU127" i="1"/>
  <c r="AJ79" i="1"/>
  <c r="AU79" i="1"/>
  <c r="AJ75" i="1"/>
  <c r="AU75" i="1"/>
  <c r="AJ97" i="1"/>
  <c r="AU97" i="1"/>
  <c r="AJ119" i="1"/>
  <c r="AU119" i="1"/>
  <c r="AJ24" i="1"/>
  <c r="AU24" i="1"/>
  <c r="AJ25" i="1"/>
  <c r="AU25" i="1"/>
  <c r="AJ50" i="1"/>
  <c r="AU50" i="1"/>
  <c r="AJ62" i="1"/>
  <c r="AU62" i="1"/>
  <c r="AJ8" i="1"/>
  <c r="AU8" i="1"/>
  <c r="AJ100" i="1"/>
  <c r="AU100" i="1"/>
  <c r="AJ114" i="1"/>
  <c r="AU114" i="1"/>
  <c r="AJ134" i="1"/>
  <c r="AU134" i="1"/>
  <c r="AJ42" i="1"/>
  <c r="AU42" i="1"/>
  <c r="AJ37" i="1"/>
  <c r="AU37" i="1"/>
  <c r="AJ46" i="1"/>
  <c r="AU46" i="1"/>
  <c r="AJ99" i="1"/>
  <c r="AU99" i="1"/>
  <c r="AJ76" i="1"/>
  <c r="AU76" i="1"/>
  <c r="AJ132" i="1"/>
  <c r="AU132" i="1"/>
  <c r="AJ55" i="1"/>
  <c r="AU55" i="1"/>
  <c r="AJ140" i="1"/>
  <c r="AU140" i="1"/>
  <c r="AJ2" i="1"/>
  <c r="AU2" i="1"/>
  <c r="AJ104" i="1"/>
  <c r="AU104" i="1"/>
  <c r="AJ131" i="1"/>
  <c r="AU131" i="1"/>
  <c r="AJ73" i="1"/>
  <c r="AU73" i="1"/>
  <c r="AJ133" i="1"/>
  <c r="AU133" i="1"/>
  <c r="AJ34" i="1"/>
  <c r="AU34" i="1"/>
  <c r="AJ74" i="1"/>
  <c r="AU74" i="1"/>
  <c r="AJ112" i="1"/>
  <c r="AU112" i="1"/>
  <c r="AJ135" i="1"/>
  <c r="AU135" i="1"/>
  <c r="AJ77" i="1"/>
  <c r="AU77" i="1"/>
  <c r="AU113" i="1"/>
  <c r="AJ51" i="1"/>
  <c r="AU51" i="1"/>
  <c r="AJ122" i="1"/>
  <c r="AU122" i="1"/>
  <c r="AJ16" i="1"/>
  <c r="AU16" i="1"/>
  <c r="AJ61" i="1"/>
  <c r="AU61" i="1"/>
  <c r="AJ107" i="1"/>
  <c r="AU107" i="1"/>
  <c r="AJ109" i="1"/>
  <c r="AU109" i="1"/>
  <c r="AJ84" i="1"/>
  <c r="AU84" i="1"/>
  <c r="AJ94" i="1"/>
  <c r="AU94" i="1"/>
  <c r="AJ111" i="1"/>
  <c r="AU111" i="1"/>
  <c r="AJ7" i="1"/>
  <c r="AU7" i="1"/>
  <c r="AT70" i="1"/>
  <c r="AT116" i="1"/>
  <c r="AT109" i="1"/>
  <c r="AJ117" i="1"/>
  <c r="AU117" i="1"/>
  <c r="AJ21" i="1"/>
  <c r="AU21" i="1"/>
  <c r="AJ11" i="1"/>
  <c r="AU11" i="1"/>
  <c r="AJ14" i="1"/>
  <c r="AU14" i="1"/>
  <c r="AJ13" i="1"/>
  <c r="AU13" i="1"/>
  <c r="AJ124" i="1"/>
  <c r="AU124" i="1"/>
  <c r="AJ81" i="1"/>
  <c r="AU81" i="1"/>
  <c r="AT6" i="1"/>
  <c r="AT4" i="1"/>
  <c r="AT118" i="1"/>
  <c r="AT55" i="1"/>
  <c r="AT99" i="1"/>
  <c r="AT40" i="1"/>
  <c r="AT8" i="1"/>
  <c r="AT77" i="1"/>
  <c r="AT72" i="1"/>
  <c r="AT108" i="1"/>
  <c r="AT12" i="1"/>
  <c r="AT101" i="1"/>
  <c r="AT34" i="1"/>
  <c r="AT138" i="1"/>
  <c r="AT97" i="1"/>
  <c r="AT81" i="1"/>
  <c r="AT14" i="1"/>
  <c r="AT106" i="1"/>
  <c r="AT73" i="1"/>
  <c r="AT110" i="1"/>
  <c r="AT67" i="1"/>
  <c r="AT85" i="1"/>
  <c r="AT127" i="1"/>
  <c r="AT60" i="1"/>
  <c r="AT78" i="1"/>
  <c r="AT89" i="1"/>
  <c r="AT135" i="1"/>
  <c r="AT44" i="1"/>
  <c r="AT98" i="1"/>
  <c r="AT15" i="1"/>
  <c r="AT90" i="1"/>
  <c r="AT111" i="1"/>
  <c r="AT121" i="1"/>
  <c r="AT3" i="1"/>
  <c r="AT68" i="1"/>
  <c r="AT39" i="1"/>
  <c r="AT33" i="1"/>
  <c r="AT25" i="1"/>
  <c r="AT137" i="1"/>
  <c r="AT41" i="1"/>
  <c r="AT88" i="1"/>
  <c r="AT128" i="1"/>
  <c r="AT63" i="1"/>
  <c r="AT24" i="1"/>
  <c r="AT79" i="1"/>
  <c r="AT80" i="1"/>
  <c r="AT26" i="1"/>
  <c r="AT82" i="1"/>
  <c r="AT119" i="1"/>
  <c r="AT96" i="1"/>
  <c r="AT7" i="1"/>
  <c r="AT95" i="1"/>
  <c r="AT56" i="1"/>
  <c r="AT49" i="1"/>
  <c r="AT10" i="1"/>
  <c r="AT53" i="1"/>
  <c r="AT113" i="1"/>
  <c r="AT129" i="1"/>
  <c r="AT94" i="1"/>
  <c r="AT58" i="1"/>
  <c r="AT131" i="1"/>
  <c r="AT17" i="1"/>
  <c r="AT62" i="1"/>
  <c r="AT65" i="1"/>
  <c r="AT124" i="1"/>
  <c r="AT112" i="1"/>
  <c r="AT103" i="1"/>
  <c r="AT20" i="1"/>
  <c r="AT48" i="1"/>
  <c r="AT28" i="1"/>
  <c r="AT83" i="1"/>
  <c r="AT57" i="1"/>
  <c r="AT105" i="1"/>
  <c r="AT134" i="1"/>
  <c r="AT19" i="1"/>
  <c r="AT91" i="1"/>
  <c r="AT51" i="1"/>
  <c r="AT32" i="1"/>
  <c r="AT104" i="1"/>
  <c r="AT115" i="1"/>
  <c r="AT23" i="1"/>
  <c r="AT22" i="1"/>
  <c r="AT37" i="1"/>
  <c r="AT102" i="1"/>
  <c r="AT92" i="1"/>
  <c r="AT126" i="1"/>
  <c r="AT71" i="1"/>
  <c r="AT35" i="1"/>
  <c r="AT136" i="1"/>
  <c r="AT59" i="1"/>
  <c r="AT42" i="1"/>
  <c r="AP6" i="1"/>
  <c r="AS6" i="1"/>
  <c r="AP4" i="1"/>
  <c r="AS4" i="1"/>
  <c r="AP118" i="1"/>
  <c r="AS118" i="1"/>
  <c r="AP18" i="1"/>
  <c r="AS18" i="1"/>
  <c r="AP55" i="1"/>
  <c r="AS55" i="1"/>
  <c r="AP99" i="1"/>
  <c r="AS99" i="1"/>
  <c r="AP40" i="1"/>
  <c r="AS40" i="1"/>
  <c r="AP8" i="1"/>
  <c r="AS8" i="1"/>
  <c r="AS57" i="1"/>
  <c r="AP86" i="1"/>
  <c r="AS86" i="1"/>
  <c r="AP68" i="1"/>
  <c r="AS68" i="1"/>
  <c r="AP130" i="1"/>
  <c r="AS130" i="1"/>
  <c r="AP21" i="1"/>
  <c r="AS21" i="1"/>
  <c r="AP13" i="1"/>
  <c r="AS13" i="1"/>
  <c r="AP77" i="1"/>
  <c r="AS77" i="1"/>
  <c r="AP31" i="1"/>
  <c r="AS31" i="1"/>
  <c r="AP72" i="1"/>
  <c r="AS72" i="1"/>
  <c r="AP108" i="1"/>
  <c r="AS108" i="1"/>
  <c r="AP12" i="1"/>
  <c r="AS12" i="1"/>
  <c r="AS10" i="1"/>
  <c r="AP52" i="1"/>
  <c r="AS52" i="1"/>
  <c r="AP101" i="1"/>
  <c r="AS101" i="1"/>
  <c r="AP34" i="1"/>
  <c r="AS34" i="1"/>
  <c r="AP74" i="1"/>
  <c r="AS74" i="1"/>
  <c r="AP138" i="1"/>
  <c r="AS138" i="1"/>
  <c r="AP97" i="1"/>
  <c r="AS97" i="1"/>
  <c r="AP81" i="1"/>
  <c r="AS81" i="1"/>
  <c r="AP14" i="1"/>
  <c r="AS14" i="1"/>
  <c r="AP106" i="1"/>
  <c r="AS106" i="1"/>
  <c r="AP73" i="1"/>
  <c r="AS73" i="1"/>
  <c r="AP50" i="1"/>
  <c r="AS50" i="1"/>
  <c r="AP46" i="1"/>
  <c r="AS46" i="1"/>
  <c r="AP110" i="1"/>
  <c r="AS110" i="1"/>
  <c r="AP67" i="1"/>
  <c r="AS67" i="1"/>
  <c r="AP36" i="1"/>
  <c r="AS36" i="1"/>
  <c r="AP30" i="1"/>
  <c r="AS30" i="1"/>
  <c r="AP85" i="1"/>
  <c r="AS85" i="1"/>
  <c r="AP127" i="1"/>
  <c r="AS127" i="1"/>
  <c r="AP60" i="1"/>
  <c r="AS60" i="1"/>
  <c r="AP78" i="1"/>
  <c r="AS78" i="1"/>
  <c r="AP89" i="1"/>
  <c r="AS89" i="1"/>
  <c r="AP2" i="1"/>
  <c r="AS2" i="1"/>
  <c r="AP114" i="1"/>
  <c r="AS114" i="1"/>
  <c r="AP140" i="1"/>
  <c r="AS140" i="1"/>
  <c r="AP135" i="1"/>
  <c r="AS135" i="1"/>
  <c r="AP44" i="1"/>
  <c r="AS44" i="1"/>
  <c r="AP98" i="1"/>
  <c r="AS98" i="1"/>
  <c r="AP61" i="1"/>
  <c r="AS61" i="1"/>
  <c r="AP15" i="1"/>
  <c r="AS15" i="1"/>
  <c r="AP75" i="1"/>
  <c r="AS75" i="1"/>
  <c r="AP90" i="1"/>
  <c r="AS90" i="1"/>
  <c r="AP111" i="1"/>
  <c r="AS111" i="1"/>
  <c r="AP121" i="1"/>
  <c r="AS121" i="1"/>
  <c r="AP3" i="1"/>
  <c r="AS3" i="1"/>
  <c r="AP39" i="1"/>
  <c r="AS39" i="1"/>
  <c r="AP33" i="1"/>
  <c r="AS33" i="1"/>
  <c r="AP25" i="1"/>
  <c r="AS25" i="1"/>
  <c r="AP137" i="1"/>
  <c r="AS137" i="1"/>
  <c r="AP41" i="1"/>
  <c r="AS41" i="1"/>
  <c r="AP88" i="1"/>
  <c r="AS88" i="1"/>
  <c r="AP93" i="1"/>
  <c r="AS93" i="1"/>
  <c r="AP128" i="1"/>
  <c r="AS128" i="1"/>
  <c r="AP63" i="1"/>
  <c r="AS63" i="1"/>
  <c r="AP24" i="1"/>
  <c r="AS24" i="1"/>
  <c r="AP107" i="1"/>
  <c r="AS107" i="1"/>
  <c r="AP29" i="1"/>
  <c r="AS29" i="1"/>
  <c r="AP79" i="1"/>
  <c r="AS79" i="1"/>
  <c r="AP139" i="1"/>
  <c r="AS139" i="1"/>
  <c r="AP80" i="1"/>
  <c r="AS80" i="1"/>
  <c r="AP125" i="1"/>
  <c r="AS125" i="1"/>
  <c r="AP26" i="1"/>
  <c r="AS26" i="1"/>
  <c r="AP87" i="1"/>
  <c r="AS87" i="1"/>
  <c r="AP132" i="1"/>
  <c r="AS132" i="1"/>
  <c r="AP70" i="1"/>
  <c r="AS70" i="1"/>
  <c r="AP69" i="1"/>
  <c r="AS69" i="1"/>
  <c r="AP116" i="1"/>
  <c r="AS116" i="1"/>
  <c r="AP82" i="1"/>
  <c r="AS82" i="1"/>
  <c r="AP109" i="1"/>
  <c r="AS109" i="1"/>
  <c r="AP119" i="1"/>
  <c r="AS119" i="1"/>
  <c r="AP27" i="1"/>
  <c r="AS27" i="1"/>
  <c r="AP122" i="1"/>
  <c r="AS122" i="1"/>
  <c r="AP47" i="1"/>
  <c r="AS47" i="1"/>
  <c r="AP96" i="1"/>
  <c r="AS96" i="1"/>
  <c r="AP7" i="1"/>
  <c r="AS7" i="1"/>
  <c r="AS23" i="1"/>
  <c r="AP54" i="1"/>
  <c r="AS54" i="1"/>
  <c r="AP11" i="1"/>
  <c r="AS11" i="1"/>
  <c r="AP64" i="1"/>
  <c r="AS64" i="1"/>
  <c r="AP9" i="1"/>
  <c r="AS9" i="1"/>
  <c r="AP56" i="1"/>
  <c r="AS56" i="1"/>
  <c r="AP120" i="1"/>
  <c r="AS120" i="1"/>
  <c r="AP49" i="1"/>
  <c r="AS49" i="1"/>
  <c r="AP45" i="1"/>
  <c r="AS45" i="1"/>
  <c r="AP5" i="1"/>
  <c r="AS5" i="1"/>
  <c r="AP100" i="1"/>
  <c r="AS100" i="1"/>
  <c r="AP53" i="1"/>
  <c r="AS53" i="1"/>
  <c r="AP113" i="1"/>
  <c r="AS113" i="1"/>
  <c r="AP129" i="1"/>
  <c r="AS129" i="1"/>
  <c r="AP94" i="1"/>
  <c r="AS94" i="1"/>
  <c r="AP43" i="1"/>
  <c r="AS43" i="1"/>
  <c r="AP58" i="1"/>
  <c r="AS58" i="1"/>
  <c r="AS95" i="1"/>
  <c r="AP117" i="1"/>
  <c r="AS117" i="1"/>
  <c r="AP66" i="1"/>
  <c r="AS66" i="1"/>
  <c r="AP17" i="1"/>
  <c r="AS17" i="1"/>
  <c r="AP62" i="1"/>
  <c r="AS62" i="1"/>
  <c r="AP65" i="1"/>
  <c r="AS65" i="1"/>
  <c r="AP124" i="1"/>
  <c r="AS124" i="1"/>
  <c r="AS131" i="1"/>
  <c r="AP22" i="1"/>
  <c r="AS22" i="1"/>
  <c r="AP103" i="1"/>
  <c r="AS103" i="1"/>
  <c r="AP20" i="1"/>
  <c r="AS20" i="1"/>
  <c r="AP123" i="1"/>
  <c r="AS123" i="1"/>
  <c r="AP76" i="1"/>
  <c r="AS76" i="1"/>
  <c r="AP48" i="1"/>
  <c r="AS48" i="1"/>
  <c r="AP28" i="1"/>
  <c r="AS28" i="1"/>
  <c r="AP83" i="1"/>
  <c r="AS83" i="1"/>
  <c r="AP38" i="1"/>
  <c r="AS38" i="1"/>
  <c r="AP105" i="1"/>
  <c r="AS105" i="1"/>
  <c r="AP134" i="1"/>
  <c r="AS134" i="1"/>
  <c r="AP16" i="1"/>
  <c r="AS16" i="1"/>
  <c r="AP19" i="1"/>
  <c r="AS19" i="1"/>
  <c r="AP91" i="1"/>
  <c r="AS91" i="1"/>
  <c r="AP51" i="1"/>
  <c r="AS51" i="1"/>
  <c r="AP32" i="1"/>
  <c r="AS32" i="1"/>
  <c r="AP104" i="1"/>
  <c r="AS104" i="1"/>
  <c r="AP115" i="1"/>
  <c r="AS115" i="1"/>
  <c r="AS42" i="1"/>
  <c r="AS112" i="1"/>
  <c r="AP133" i="1"/>
  <c r="AS133" i="1"/>
  <c r="AP84" i="1"/>
  <c r="AS84" i="1"/>
  <c r="AP37" i="1"/>
  <c r="AS37" i="1"/>
  <c r="AP102" i="1"/>
  <c r="AS102" i="1"/>
  <c r="AP92" i="1"/>
  <c r="AS92" i="1"/>
  <c r="AP126" i="1"/>
  <c r="AS126" i="1"/>
  <c r="AP71" i="1"/>
  <c r="AS71" i="1"/>
  <c r="AP35" i="1"/>
  <c r="AS35" i="1"/>
  <c r="AP136" i="1"/>
  <c r="AS136" i="1"/>
  <c r="AP59" i="1"/>
  <c r="AS59" i="1"/>
</calcChain>
</file>

<file path=xl/sharedStrings.xml><?xml version="1.0" encoding="utf-8"?>
<sst xmlns="http://schemas.openxmlformats.org/spreadsheetml/2006/main" count="708" uniqueCount="293">
  <si>
    <t>solvent_1_smiles</t>
  </si>
  <si>
    <t>solvent_2_smiles</t>
  </si>
  <si>
    <t>solvent_3_smiles</t>
  </si>
  <si>
    <t>salt_1_smiles</t>
  </si>
  <si>
    <t>salt_2_smiles</t>
  </si>
  <si>
    <t>additive_smiles</t>
  </si>
  <si>
    <t>solv_1_ratio</t>
  </si>
  <si>
    <t>solv_2_ratio</t>
  </si>
  <si>
    <t>solv_3_ratio</t>
  </si>
  <si>
    <t>salt_1_conc</t>
  </si>
  <si>
    <t>salt_2_conc</t>
  </si>
  <si>
    <t>CE</t>
  </si>
  <si>
    <t>CC1COC(=O)O1</t>
  </si>
  <si>
    <t>[Li+].[O-]Cl(=O)(=O)=O</t>
  </si>
  <si>
    <t>C1CCOC1</t>
  </si>
  <si>
    <t>[Li+].F[As-](F)(F)(F)(F)F</t>
  </si>
  <si>
    <t>CC1CCCO1</t>
  </si>
  <si>
    <t>CCOCC</t>
  </si>
  <si>
    <t>COCCOC</t>
  </si>
  <si>
    <t>O=C1OCCO1</t>
  </si>
  <si>
    <t>C1COCO1</t>
  </si>
  <si>
    <t>COCOC</t>
  </si>
  <si>
    <t>O=S(=O)(F)[N-]S(=O)(=O)F.[Li+]</t>
  </si>
  <si>
    <t>[Li+].C(F)(F)(F)S(=O)(=O)[N-]S(=O)(=O)C(F)(F)F</t>
  </si>
  <si>
    <t>O=C1OCC(F)O1</t>
  </si>
  <si>
    <t>CF</t>
  </si>
  <si>
    <t>O=C=O</t>
  </si>
  <si>
    <t>COC(=O)OC</t>
  </si>
  <si>
    <t>CCOC(=O)OCC</t>
  </si>
  <si>
    <t>[Li+].F[P-](F)(F)(F)(F)F</t>
  </si>
  <si>
    <t>Cl[Al](Cl)Cl</t>
  </si>
  <si>
    <t>FC(F)(F)COCC(F)(F)F</t>
  </si>
  <si>
    <t>FC(F)(F)COC(OCC(F)(F)F)OCC(F)(F)F</t>
  </si>
  <si>
    <t>O=[N+]([O-])[O-].[Li+]</t>
  </si>
  <si>
    <t>CN(C)S(=O)(=O)F</t>
  </si>
  <si>
    <t>CC#N</t>
  </si>
  <si>
    <t>COCC(F)(F)C(F)(F)COC</t>
  </si>
  <si>
    <t>CCN(CC)S(=O)(=O)C(F)(F)F</t>
  </si>
  <si>
    <t>CCOC(=O)OC</t>
  </si>
  <si>
    <t>O=C1O[B-](F)(F)OC1=O.[Li+]</t>
  </si>
  <si>
    <t>COCCCOC</t>
  </si>
  <si>
    <t>O=c1occo1</t>
  </si>
  <si>
    <t>F[P-](F)(F)(F)(F)F.[Cs+]</t>
  </si>
  <si>
    <t>O=C(OCC(F)(F)F)OCC(F)(F)F</t>
  </si>
  <si>
    <t>COCCOCCOCC(F)(F)OC(F)(F)C(F)(F)OC(F)(F)COCCOCCOC</t>
  </si>
  <si>
    <t>COCCCCOC</t>
  </si>
  <si>
    <t>CCOP(=O)(OCC)OCC</t>
  </si>
  <si>
    <t>COC(=O)CC(F)(F)F</t>
  </si>
  <si>
    <t>COCCOCCOC</t>
  </si>
  <si>
    <t>COCCOCCOCCOCCOC</t>
  </si>
  <si>
    <t>COCCOCCOCCOC</t>
  </si>
  <si>
    <t>FC(F)C(F)(F)COC(F)(F)C(F)F</t>
  </si>
  <si>
    <t>CCOCCOCC</t>
  </si>
  <si>
    <t>CCOCCOCC(F)(F)F</t>
  </si>
  <si>
    <t>FC(F)(F)COCCOCC(F)(F)F</t>
  </si>
  <si>
    <t>FC(F)COCCOCC(F)F</t>
  </si>
  <si>
    <t>FC(F)COCCOCC(F)(F)F</t>
  </si>
  <si>
    <t>CCOC(=O)OCC(F)(F)F</t>
  </si>
  <si>
    <t>O=C1OC(F)C(F)O1</t>
  </si>
  <si>
    <t>O=C1OCC(C(F)(F)F)O1</t>
  </si>
  <si>
    <t>O=S1(=O)OCCO1</t>
  </si>
  <si>
    <t>FC(F)(F)COB(OCC(F)(F)F)OCC(F)(F)F</t>
  </si>
  <si>
    <t>CCn1cc[n+](C)c1.O=S(=O)(F)[N-]S(=O)(=O)F</t>
  </si>
  <si>
    <t>CO[Si](C)(C)OC</t>
  </si>
  <si>
    <t>CCCCOCCCC</t>
  </si>
  <si>
    <t>CCOC(C)=O</t>
  </si>
  <si>
    <t>[LI+].F[B-](F)(F)(F)</t>
  </si>
  <si>
    <t>O=S(=O)([O-])C(F)(F)F.[Li+]</t>
  </si>
  <si>
    <t>COC(=O)OCC(F)(F)F</t>
  </si>
  <si>
    <t>C1COCCO1</t>
  </si>
  <si>
    <t>CCO[Si](OCC)(OCC)OCC</t>
  </si>
  <si>
    <t>CCO[Si](OC)(OCC)OCC</t>
  </si>
  <si>
    <t>CCO[Si](C)(C)OCC</t>
  </si>
  <si>
    <t>O=S1(=O)CCCC1</t>
  </si>
  <si>
    <t>COC1OCC(C(F)(F)F)O1</t>
  </si>
  <si>
    <t>COC1(OC)OCC(C(F)(F)F)O1</t>
  </si>
  <si>
    <t>CE%</t>
  </si>
  <si>
    <t>LCE</t>
  </si>
  <si>
    <t>FC(F)(F)COCCOCC(F)(F)(F)</t>
  </si>
  <si>
    <t>F6DEE</t>
  </si>
  <si>
    <t>FC(F)COCCOCC(F)(F)(F)</t>
  </si>
  <si>
    <t>F5DEE</t>
  </si>
  <si>
    <t>FC(F)COCCOCC(F)(F)</t>
  </si>
  <si>
    <t>F4DEE</t>
  </si>
  <si>
    <t>FC(F)(F)COCCOCC</t>
  </si>
  <si>
    <t>F3DEE</t>
  </si>
  <si>
    <t>CCOC(C)OCC</t>
  </si>
  <si>
    <t>Diethoxyethane (C6H14O2)</t>
  </si>
  <si>
    <t>O1CCOCC1</t>
  </si>
  <si>
    <t>1,4-Dioxolane</t>
  </si>
  <si>
    <t>B(OCC(F)(F)F)(OCC(F)(F)F)OCC(F)(F)F</t>
  </si>
  <si>
    <t>C(C(F)(F)F)OC(=O)OCC(F)(F)F</t>
  </si>
  <si>
    <t>BTFEC (C5H4F6O3)</t>
  </si>
  <si>
    <t>FSA</t>
  </si>
  <si>
    <t>COCC(F)(F)C(F)(F)C(F)(F)C(F)(F)COC</t>
  </si>
  <si>
    <t>FDMH</t>
  </si>
  <si>
    <t>CC1CCC(C)O1</t>
  </si>
  <si>
    <t>DMeTHF (C6H12O)</t>
  </si>
  <si>
    <t>C1COS(=O)O1</t>
  </si>
  <si>
    <t>ES (C2H4S)</t>
  </si>
  <si>
    <t>TTFEB</t>
  </si>
  <si>
    <t>CC(=O)OCCOC(C)=O</t>
  </si>
  <si>
    <t>EGD (C6H10O4)</t>
  </si>
  <si>
    <t>O1CCOCCOCCOCCOCCOCC1</t>
  </si>
  <si>
    <t>18-crown-6</t>
  </si>
  <si>
    <t>O1CCOCCOCCOCC1</t>
  </si>
  <si>
    <t>12-crown-4</t>
  </si>
  <si>
    <t>TMSB (C9H27O3Si3)</t>
  </si>
  <si>
    <t>FC1CCCCC1</t>
  </si>
  <si>
    <t>FB (C6H5F)</t>
  </si>
  <si>
    <t>MTFP (C4H5F3O2)</t>
  </si>
  <si>
    <t>COCCOCCOCC(F)(F)OC(F)(F)OC(F)(F)COCCOCCOC</t>
  </si>
  <si>
    <t>DEG-FTriEG</t>
  </si>
  <si>
    <t>Tetraglyme</t>
  </si>
  <si>
    <t>CN(C)C(=O)C(F)(F)F</t>
  </si>
  <si>
    <t>FDMA (C4H6F3NO)</t>
  </si>
  <si>
    <t>O=C(OCC)OCC(F)(F)F</t>
  </si>
  <si>
    <t>ETFEC (C5H7F3O3)</t>
  </si>
  <si>
    <t>ClCCl</t>
  </si>
  <si>
    <t>DCM (CCl2H2)</t>
  </si>
  <si>
    <t>O=C(OCC)C</t>
  </si>
  <si>
    <t>EA (C4H8O2)</t>
  </si>
  <si>
    <t>O1C(C)CCC1</t>
  </si>
  <si>
    <t>MTHF (C5H10O)</t>
  </si>
  <si>
    <t>THF (C4H8O)</t>
  </si>
  <si>
    <t>AN (CH3CN)</t>
  </si>
  <si>
    <t>CS(=O)C</t>
  </si>
  <si>
    <t>DMSO (C2H6OS)</t>
  </si>
  <si>
    <t>COC(C(F)(F)F)C(F)(F)F</t>
  </si>
  <si>
    <t>HFME (C4H4F6O)</t>
  </si>
  <si>
    <t>O=C1OCCC1</t>
  </si>
  <si>
    <t>GBL (C4H6O2)</t>
  </si>
  <si>
    <t>C1=COC(=O)O1</t>
  </si>
  <si>
    <t>VC (C3H2O3)</t>
  </si>
  <si>
    <t>EMC (C4H8O3)</t>
  </si>
  <si>
    <t>TEP (C6H15O4P)</t>
  </si>
  <si>
    <t>FC(COC(OCC(F)(F)F)OCC(F)(F)F)(F)F</t>
  </si>
  <si>
    <t>TFEO (C7H7F9O3)</t>
  </si>
  <si>
    <t>TMS ((CH2)4SO2))</t>
  </si>
  <si>
    <t>COC(C)C(C)OC</t>
  </si>
  <si>
    <t>DMB (C6H14O2)</t>
  </si>
  <si>
    <t>FC</t>
  </si>
  <si>
    <t>FM (CH3F)</t>
  </si>
  <si>
    <t>Diethyl ether (C4H10O1)</t>
  </si>
  <si>
    <t>O1CCOC1</t>
  </si>
  <si>
    <t>DOL (C3H6O2)</t>
  </si>
  <si>
    <t>TTE (C5H4F8O)</t>
  </si>
  <si>
    <t>C(C(F)(F)F)OC(C(F)F)(F)F</t>
  </si>
  <si>
    <t>D2 (C4H3F7O1)</t>
  </si>
  <si>
    <t>COC(=O)OCCF</t>
  </si>
  <si>
    <t>FEMC  (C4H5F3O3)</t>
  </si>
  <si>
    <t>C(C(F)(F)F)OCC(F)(F)F</t>
  </si>
  <si>
    <t>BTFE (CF3CH2)2O</t>
  </si>
  <si>
    <t>FDMB (C6H10F4O2)</t>
  </si>
  <si>
    <t>C1C(OC(=O)O1)F</t>
  </si>
  <si>
    <t>FEC (C3H3FO3)</t>
  </si>
  <si>
    <t>DMC (C3H6O3)</t>
  </si>
  <si>
    <t>O=C(OCC)OCC</t>
  </si>
  <si>
    <t>DEC (C5H10O3)</t>
  </si>
  <si>
    <t>PC (C4H6O3)</t>
  </si>
  <si>
    <t>C1COC(=O)O1</t>
  </si>
  <si>
    <t>EC (C3H4O3)</t>
  </si>
  <si>
    <t>DME (C4H10O2)</t>
  </si>
  <si>
    <t>SMILES</t>
  </si>
  <si>
    <t>mol/L</t>
  </si>
  <si>
    <t>density (g/mL)</t>
  </si>
  <si>
    <t>MW</t>
  </si>
  <si>
    <t>B/Cl/As/Si etc.</t>
  </si>
  <si>
    <t>P</t>
  </si>
  <si>
    <t>S</t>
  </si>
  <si>
    <t>N</t>
  </si>
  <si>
    <t>F</t>
  </si>
  <si>
    <t>O</t>
  </si>
  <si>
    <t>H</t>
  </si>
  <si>
    <t>C</t>
  </si>
  <si>
    <t>Solvent</t>
  </si>
  <si>
    <t>LiTf</t>
  </si>
  <si>
    <t>LIFOB</t>
  </si>
  <si>
    <t>[Li+].C1=CN=CN1.C(C(F)(F)S(=O)(=O)[N-]S(=O)(=O)C(C(F)(F)F)(F)F)(F)(F)F</t>
  </si>
  <si>
    <t>LiBETI</t>
  </si>
  <si>
    <t>[Rb+].[N+](=O)([O-])[O-]</t>
  </si>
  <si>
    <t>RbNO3</t>
  </si>
  <si>
    <t>CSi(C)(C)([N+]).C(F)(F)(F)S(=O)(=O)[N-]S(=O)(=O)C(F)(F)C(F)(F)C(F)(F)C(F)(F)F</t>
  </si>
  <si>
    <t>TMS-FNFSI ((CH3)3Si-N[(FSO2)(C4F9SO2)])</t>
  </si>
  <si>
    <t>[Li+][S-]SSS[S-][Li+]</t>
  </si>
  <si>
    <t>Li2S5</t>
  </si>
  <si>
    <t>LiClO4</t>
  </si>
  <si>
    <t>LiAsF6</t>
  </si>
  <si>
    <t>[Li+].FP(F)(=O)([O-])</t>
  </si>
  <si>
    <t>LiPO2F2</t>
  </si>
  <si>
    <t>[Li+].C(F)(F)(F)S(=O)(=O)[N-]S(=O)(=O)C(F)(F)C(F)(F)C(F)(F)C(F)(F)F</t>
  </si>
  <si>
    <t>LiFNFSI</t>
  </si>
  <si>
    <t>LiBF4</t>
  </si>
  <si>
    <t>[LI+].F[B-](F)(F)OC(C(F)(F)(F))(C(F)(F)(F))C(F)(F)(F)</t>
  </si>
  <si>
    <t>LiTFPFB</t>
  </si>
  <si>
    <t>[Li+].[B-]1(OC(=O)C(=O)O1)(F)F</t>
  </si>
  <si>
    <t>LiDFOB</t>
  </si>
  <si>
    <t>[Li+].[N+](=O)([O-])[O-]</t>
  </si>
  <si>
    <t>LiNO3</t>
  </si>
  <si>
    <t>[Li+].[O-]P(=O)(F)F</t>
  </si>
  <si>
    <t>LiDFP</t>
  </si>
  <si>
    <t>[Li+].[B-]12(OC(=O)C(=O)O1)OC(=O)C(=O)O2</t>
  </si>
  <si>
    <t>LiBOB</t>
  </si>
  <si>
    <t>LiTFSI</t>
  </si>
  <si>
    <t>LiPF6</t>
  </si>
  <si>
    <t>LiFSI</t>
  </si>
  <si>
    <t>Li</t>
  </si>
  <si>
    <t>Salt</t>
  </si>
  <si>
    <t>TotalAtoms</t>
  </si>
  <si>
    <t>moles_s1</t>
  </si>
  <si>
    <t>moles_s2</t>
  </si>
  <si>
    <t>moles_s3</t>
  </si>
  <si>
    <t>1,4-dioxane(C4H8O2)</t>
  </si>
  <si>
    <t>1,3-dioxolane (	C3H6O2)</t>
  </si>
  <si>
    <t>2-Methyltetrahydrofuran</t>
  </si>
  <si>
    <t>Butyl ether</t>
  </si>
  <si>
    <t>N,N-Diethyl-1,1,1-trifluoromethanesulfonamide</t>
  </si>
  <si>
    <t>Diethyl Carbonate</t>
  </si>
  <si>
    <t>Ethyl 2,2,2-trifluoroethyl carbonate</t>
  </si>
  <si>
    <t>Ethyl acetate</t>
  </si>
  <si>
    <t>Ethylene glycol diethyl ether</t>
  </si>
  <si>
    <t>1-(2,2,2-Trifluoroethoxy)-2-ethoxyethane</t>
  </si>
  <si>
    <t>Diethoxydimethylsilane</t>
  </si>
  <si>
    <t>Triethyl methyl orthosilicate</t>
  </si>
  <si>
    <t>Tetraethoxysilane</t>
  </si>
  <si>
    <t>1-Ethyl-3-methyl-1H-imidazol-3-ium bis(fluorosulfonyl)azanide</t>
  </si>
  <si>
    <t>Fluoromethane</t>
  </si>
  <si>
    <t>Methyl 2,2,2-trifluoroethyl carbonate</t>
  </si>
  <si>
    <t>2,2-Dimetoxi-4-(trifluorometil)-1,3-dioxolano</t>
  </si>
  <si>
    <t>2-metoxi-4-(trifluorometil)-1,3-dioxolano</t>
  </si>
  <si>
    <t>1,4-Dimethoxybutane</t>
  </si>
  <si>
    <t>1,3-Dimethoxypropane</t>
  </si>
  <si>
    <t>Diglyme</t>
  </si>
  <si>
    <t>éter de oligoglicol fluorado</t>
  </si>
  <si>
    <t>Triglyme</t>
  </si>
  <si>
    <t>Dimethoxymethane</t>
  </si>
  <si>
    <t>Dimethoxydimethylsilane</t>
  </si>
  <si>
    <t>2-[Bis(2,2,2-trifluoroethoxy)methoxy]-1,1,1-trifluoroethane</t>
  </si>
  <si>
    <t>Flurothyl</t>
  </si>
  <si>
    <t>1,1,1-Trifluoro-2-[2-(2,2,2-trifluoroethoxy)ethoxy]ethane</t>
  </si>
  <si>
    <t>1,1,2,2-Tetrafluoroethyl 2,2,2-trifluoroethyl ether</t>
  </si>
  <si>
    <t>1-Difluoroethoxy-2-Trifluoroethoxyethane</t>
  </si>
  <si>
    <t>2-[2-(2,2-Difluoroethoxy)ethoxy]-1,1-difluoroethane</t>
  </si>
  <si>
    <t>Bis(2,2,2-trifluoroethyl) carbonate</t>
  </si>
  <si>
    <t>4,5-Difluoro-1,3-dioxolan-2-one</t>
  </si>
  <si>
    <t>4-(Trifluoromethyl)-1,3-dioxolan-2-one</t>
  </si>
  <si>
    <t>Fluoroethylene carbonate</t>
  </si>
  <si>
    <t>Ethylene carbonate</t>
  </si>
  <si>
    <t>Carbon dioxide</t>
  </si>
  <si>
    <t>VC</t>
  </si>
  <si>
    <t>B(O[Si](C)(C)C)(O[Si](C)(C)C)O[Si](C)©</t>
  </si>
  <si>
    <t>FC(F)C(F)(F)OCC(F)(F)F</t>
  </si>
  <si>
    <t>moles_sa1</t>
  </si>
  <si>
    <t>moles_sa2</t>
  </si>
  <si>
    <t>O_from_solvents</t>
  </si>
  <si>
    <t>O_from_salts</t>
  </si>
  <si>
    <t>O_total</t>
  </si>
  <si>
    <t>C_from_solvents</t>
  </si>
  <si>
    <t>C_from_salts</t>
  </si>
  <si>
    <t>C_total</t>
  </si>
  <si>
    <t>F_from_solvents</t>
  </si>
  <si>
    <t>F_from_salts</t>
  </si>
  <si>
    <t>F_total</t>
  </si>
  <si>
    <t>H_from_solvents</t>
  </si>
  <si>
    <t>H_from_salts</t>
  </si>
  <si>
    <t>H_total</t>
  </si>
  <si>
    <t>Li_from_solvents</t>
  </si>
  <si>
    <t>Li_from_salts</t>
  </si>
  <si>
    <t>Li_total</t>
  </si>
  <si>
    <t>TotalAtoms_all</t>
  </si>
  <si>
    <t>sO</t>
  </si>
  <si>
    <t>aO</t>
  </si>
  <si>
    <t>sC</t>
  </si>
  <si>
    <t>aC</t>
  </si>
  <si>
    <t>sF</t>
  </si>
  <si>
    <t>aF</t>
  </si>
  <si>
    <t>FO</t>
  </si>
  <si>
    <t>OC</t>
  </si>
  <si>
    <t>InOr</t>
  </si>
  <si>
    <t>SaltName1</t>
  </si>
  <si>
    <t>SaltName2</t>
  </si>
  <si>
    <t>SolvName1</t>
  </si>
  <si>
    <t>SolvName2</t>
  </si>
  <si>
    <t>SolvName3</t>
  </si>
  <si>
    <t>SolvCount</t>
  </si>
  <si>
    <t>Salt1_text</t>
  </si>
  <si>
    <t>Salt2_text</t>
  </si>
  <si>
    <t>Salt_text</t>
  </si>
  <si>
    <t>Solv1_text</t>
  </si>
  <si>
    <t>Solv2_text</t>
  </si>
  <si>
    <t>Solv3_text</t>
  </si>
  <si>
    <t>Solvent_text</t>
  </si>
  <si>
    <t>Electrolyte_text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</si>
</sst>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7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7">
    <dxf>
      <numFmt numFmtId="170" formatCode="0.000"/>
    </dxf>
    <dxf>
      <numFmt numFmtId="0" formatCode="General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MainTbl" displayName="MainTbl" ref="A1:BJ140" totalsRowShown="0">
  <autoFilter ref="A1:BJ140" xr:uid="{00000000-0009-0000-0100-000003000000}"/>
  <tableColumns count="62">
    <tableColumn id="1" xr3:uid="{00000000-0010-0000-0000-000001000000}" name="solvent_1_smiles"/>
    <tableColumn id="2" xr3:uid="{00000000-0010-0000-0000-000002000000}" name="solvent_2_smiles"/>
    <tableColumn id="3" xr3:uid="{00000000-0010-0000-0000-000003000000}" name="solvent_3_smiles"/>
    <tableColumn id="4" xr3:uid="{00000000-0010-0000-0000-000004000000}" name="salt_1_smiles"/>
    <tableColumn id="5" xr3:uid="{00000000-0010-0000-0000-000005000000}" name="salt_2_smiles"/>
    <tableColumn id="6" xr3:uid="{00000000-0010-0000-0000-000006000000}" name="additive_smiles"/>
    <tableColumn id="7" xr3:uid="{00000000-0010-0000-0000-000007000000}" name="solv_1_ratio"/>
    <tableColumn id="8" xr3:uid="{00000000-0010-0000-0000-000008000000}" name="solv_2_ratio"/>
    <tableColumn id="9" xr3:uid="{00000000-0010-0000-0000-000009000000}" name="solv_3_ratio"/>
    <tableColumn id="10" xr3:uid="{00000000-0010-0000-0000-00000A000000}" name="salt_1_conc"/>
    <tableColumn id="11" xr3:uid="{00000000-0010-0000-0000-00000B000000}" name="salt_2_conc"/>
    <tableColumn id="12" xr3:uid="{00000000-0010-0000-0000-00000C000000}" name="CE"/>
    <tableColumn id="13" xr3:uid="{00000000-0010-0000-0000-00000D000000}" name="CE%">
      <calculatedColumnFormula>(L2*100)</calculatedColumnFormula>
    </tableColumn>
    <tableColumn id="14" xr3:uid="{00000000-0010-0000-0000-00000E000000}" name="LCE">
      <calculatedColumnFormula>-LOG10(1-L2)</calculatedColumnFormula>
    </tableColumn>
    <tableColumn id="15" xr3:uid="{00000000-0010-0000-0000-00000F000000}" name="moles_s1" dataDxfId="76">
      <calculatedColumnFormula>IFERROR(MainTbl[[#This Row],[solv_1_ratio]]*VLOOKUP(MainTbl[[#This Row],[solvent_1_smiles]],SolvTbl[],13,FALSE),0)</calculatedColumnFormula>
    </tableColumn>
    <tableColumn id="16" xr3:uid="{00000000-0010-0000-0000-000010000000}" name="moles_s2" dataDxfId="75">
      <calculatedColumnFormula>IFERROR(MainTbl[[#This Row],[solv_2_ratio]]*VLOOKUP(MainTbl[[#This Row],[solvent_2_smiles]],SolvTbl[],13,FALSE),0)</calculatedColumnFormula>
    </tableColumn>
    <tableColumn id="17" xr3:uid="{00000000-0010-0000-0000-000011000000}" name="moles_s3" dataDxfId="74">
      <calculatedColumnFormula>IFERROR(MainTbl[[#This Row],[solv_3_ratio]]*VLOOKUP(MainTbl[[#This Row],[solvent_3_smiles]],SolvTbl[],13,FALSE),0)</calculatedColumnFormula>
    </tableColumn>
    <tableColumn id="18" xr3:uid="{00000000-0010-0000-0000-000012000000}" name="moles_sa1" dataDxfId="73">
      <calculatedColumnFormula>IFERROR(MainTbl[[#This Row],[salt_1_conc]],0)</calculatedColumnFormula>
    </tableColumn>
    <tableColumn id="19" xr3:uid="{00000000-0010-0000-0000-000013000000}" name="moles_sa2">
      <calculatedColumnFormula>IFERROR(MainTbl[[#This Row],[salt_2_conc]],0)</calculatedColumnFormula>
    </tableColumn>
    <tableColumn id="20" xr3:uid="{00000000-0010-0000-0000-000014000000}" name="O_from_solvents" dataDxfId="72">
      <calculatedColumnFormula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calculatedColumnFormula>
    </tableColumn>
    <tableColumn id="21" xr3:uid="{00000000-0010-0000-0000-000015000000}" name="O_from_salts" dataDxfId="71">
      <calculatedColumnFormula>IFERROR(MainTbl[[#This Row],[moles_sa1]]*VLOOKUP(MainTbl[[#This Row],[salt_1_smiles]],SaltTbl[],MATCH("O",SaltTbl[#Headers],0),FALSE),0)
+IFERROR(MainTbl[[#This Row],[moles_sa2]]*VLOOKUP(MainTbl[[#This Row],[salt_2_smiles]],SaltTbl[],MATCH("O",SaltTbl[#Headers],0),FALSE),0)</calculatedColumnFormula>
    </tableColumn>
    <tableColumn id="22" xr3:uid="{00000000-0010-0000-0000-000016000000}" name="O_total" dataDxfId="70">
      <calculatedColumnFormula>MainTbl[[#This Row],[O_from_solvents]]+MainTbl[[#This Row],[O_from_salts]]</calculatedColumnFormula>
    </tableColumn>
    <tableColumn id="23" xr3:uid="{00000000-0010-0000-0000-000017000000}" name="C_from_solvents" dataDxfId="69">
      <calculatedColumnFormula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calculatedColumnFormula>
    </tableColumn>
    <tableColumn id="24" xr3:uid="{00000000-0010-0000-0000-000018000000}" name="C_from_salts" dataDxfId="68">
      <calculatedColumnFormula>IFERROR(MainTbl[[#This Row],[moles_sa1]]*VLOOKUP(MainTbl[[#This Row],[salt_1_smiles]],SaltTbl[],MATCH("C",SaltTbl[#Headers],0),FALSE),0)
+IFERROR(MainTbl[[#This Row],[moles_sa2]]*VLOOKUP(MainTbl[[#This Row],[salt_2_smiles]],SaltTbl[],MATCH("C",SaltTbl[#Headers],0),FALSE),0)</calculatedColumnFormula>
    </tableColumn>
    <tableColumn id="25" xr3:uid="{00000000-0010-0000-0000-000019000000}" name="C_total" dataDxfId="67">
      <calculatedColumnFormula>MainTbl[[#This Row],[C_from_solvents]]+MainTbl[[#This Row],[C_from_salts]]</calculatedColumnFormula>
    </tableColumn>
    <tableColumn id="26" xr3:uid="{00000000-0010-0000-0000-00001A000000}" name="F_from_solvents" dataDxfId="66">
      <calculatedColumnFormula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calculatedColumnFormula>
    </tableColumn>
    <tableColumn id="27" xr3:uid="{00000000-0010-0000-0000-00001B000000}" name="F_from_salts" dataDxfId="65">
      <calculatedColumnFormula>IFERROR(MainTbl[[#This Row],[moles_sa1]]*VLOOKUP(MainTbl[[#This Row],[salt_1_smiles]],SaltTbl[],MATCH("F",SaltTbl[#Headers],0),FALSE),0)
+IFERROR(MainTbl[[#This Row],[moles_sa2]]*VLOOKUP(MainTbl[[#This Row],[salt_2_smiles]],SaltTbl[],MATCH("F",SaltTbl[#Headers],0),FALSE),0)</calculatedColumnFormula>
    </tableColumn>
    <tableColumn id="28" xr3:uid="{00000000-0010-0000-0000-00001C000000}" name="F_total" dataDxfId="64">
      <calculatedColumnFormula>MainTbl[[#This Row],[F_from_solvents]]+MainTbl[[#This Row],[F_from_salts]]</calculatedColumnFormula>
    </tableColumn>
    <tableColumn id="29" xr3:uid="{00000000-0010-0000-0000-00001D000000}" name="H_from_solvents" dataDxfId="63">
      <calculatedColumnFormula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calculatedColumnFormula>
    </tableColumn>
    <tableColumn id="30" xr3:uid="{00000000-0010-0000-0000-00001E000000}" name="H_from_salts" dataDxfId="62">
      <calculatedColumnFormula>IFERROR(MainTbl[[#This Row],[moles_sa1]]*VLOOKUP(MainTbl[[#This Row],[salt_1_smiles]],SaltTbl[],MATCH("H",SaltTbl[#Headers],0),FALSE),0)
+IFERROR(MainTbl[[#This Row],[moles_sa2]]*VLOOKUP(MainTbl[[#This Row],[salt_2_smiles]],SaltTbl[],MATCH("H",SaltTbl[#Headers],0),FALSE),0)</calculatedColumnFormula>
    </tableColumn>
    <tableColumn id="31" xr3:uid="{00000000-0010-0000-0000-00001F000000}" name="H_total" dataDxfId="61">
      <calculatedColumnFormula>MainTbl[[#This Row],[H_from_solvents]]+MainTbl[[#This Row],[H_from_salts]]</calculatedColumnFormula>
    </tableColumn>
    <tableColumn id="32" xr3:uid="{00000000-0010-0000-0000-000020000000}" name="Li_from_solvents" dataDxfId="60">
      <calculatedColumnFormula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calculatedColumnFormula>
    </tableColumn>
    <tableColumn id="33" xr3:uid="{00000000-0010-0000-0000-000021000000}" name="Li_from_salts" dataDxfId="59">
      <calculatedColumnFormula>IFERROR(MainTbl[[#This Row],[moles_sa1]]*VLOOKUP(MainTbl[[#This Row],[salt_1_smiles]],SaltTbl[],MATCH("Li",SaltTbl[#Headers],0),FALSE),0)
+IFERROR(MainTbl[[#This Row],[moles_sa2]]*VLOOKUP(MainTbl[[#This Row],[salt_2_smiles]],SaltTbl[],MATCH("Li",SaltTbl[#Headers],0),FALSE),0)</calculatedColumnFormula>
    </tableColumn>
    <tableColumn id="34" xr3:uid="{00000000-0010-0000-0000-000022000000}" name="Li_total" dataDxfId="58">
      <calculatedColumnFormula>MainTbl[[#This Row],[Li_from_solvents]]+MainTbl[[#This Row],[Li_from_salts]]</calculatedColumnFormula>
    </tableColumn>
    <tableColumn id="36" xr3:uid="{00000000-0010-0000-0000-000024000000}" name="TotalAtoms_all" dataDxfId="14">
      <calculatedColumnFormula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calculatedColumnFormula>
    </tableColumn>
    <tableColumn id="35" xr3:uid="{00000000-0010-0000-0000-000023000000}" name="O" dataDxfId="13">
      <calculatedColumnFormula>IFERROR(MainTbl[[#This Row],[O_total]]/MainTbl[[#This Row],[TotalAtoms_all]],0)</calculatedColumnFormula>
    </tableColumn>
    <tableColumn id="37" xr3:uid="{00000000-0010-0000-0000-000025000000}" name="sO" dataDxfId="12">
      <calculatedColumnFormula>IFERROR(MainTbl[[#This Row],[O_from_solvents]]/MainTbl[[#This Row],[TotalAtoms_all]],0)</calculatedColumnFormula>
    </tableColumn>
    <tableColumn id="38" xr3:uid="{00000000-0010-0000-0000-000026000000}" name="aO" dataDxfId="11">
      <calculatedColumnFormula>IFERROR(MainTbl[[#This Row],[O_from_salts]]/MainTbl[[#This Row],[TotalAtoms_all]],0)</calculatedColumnFormula>
    </tableColumn>
    <tableColumn id="39" xr3:uid="{00000000-0010-0000-0000-000027000000}" name="C" dataDxfId="10">
      <calculatedColumnFormula>IFERROR(MainTbl[[#This Row],[C_total]]/MainTbl[[#This Row],[TotalAtoms_all]],0)</calculatedColumnFormula>
    </tableColumn>
    <tableColumn id="40" xr3:uid="{00000000-0010-0000-0000-000028000000}" name="sC" dataDxfId="9">
      <calculatedColumnFormula>IFERROR(MainTbl[[#This Row],[C_from_solvents]]/MainTbl[[#This Row],[TotalAtoms_all]],0)</calculatedColumnFormula>
    </tableColumn>
    <tableColumn id="41" xr3:uid="{00000000-0010-0000-0000-000029000000}" name="aC" dataDxfId="8">
      <calculatedColumnFormula>IFERROR(MainTbl[[#This Row],[C_from_salts]]/MainTbl[[#This Row],[TotalAtoms_all]],0)</calculatedColumnFormula>
    </tableColumn>
    <tableColumn id="42" xr3:uid="{00000000-0010-0000-0000-00002A000000}" name="F" dataDxfId="7">
      <calculatedColumnFormula>IFERROR(MainTbl[[#This Row],[F_total]]/MainTbl[[#This Row],[TotalAtoms_all]],0)</calculatedColumnFormula>
    </tableColumn>
    <tableColumn id="43" xr3:uid="{00000000-0010-0000-0000-00002B000000}" name="sF" dataDxfId="6">
      <calculatedColumnFormula>IFERROR(MainTbl[[#This Row],[F_from_solvents]]/MainTbl[[#This Row],[TotalAtoms_all]],0)</calculatedColumnFormula>
    </tableColumn>
    <tableColumn id="44" xr3:uid="{00000000-0010-0000-0000-00002C000000}" name="aF" dataDxfId="5">
      <calculatedColumnFormula>IFERROR(MainTbl[[#This Row],[F_from_salts]]/MainTbl[[#This Row],[TotalAtoms_all]],0)</calculatedColumnFormula>
    </tableColumn>
    <tableColumn id="45" xr3:uid="{00000000-0010-0000-0000-00002D000000}" name="FO" dataDxfId="4">
      <calculatedColumnFormula>IFERROR(MainTbl[[#This Row],[F_total]]/MainTbl[[#This Row],[O_total]],0)</calculatedColumnFormula>
    </tableColumn>
    <tableColumn id="46" xr3:uid="{00000000-0010-0000-0000-00002E000000}" name="FC" dataDxfId="3">
      <calculatedColumnFormula>IFERROR(MainTbl[[#This Row],[F_total]]/MainTbl[[#This Row],[C_total]],0)</calculatedColumnFormula>
    </tableColumn>
    <tableColumn id="47" xr3:uid="{00000000-0010-0000-0000-00002F000000}" name="OC" dataDxfId="2">
      <calculatedColumnFormula>IFERROR(MainTbl[[#This Row],[O_total]]/MainTbl[[#This Row],[C_total]],0)</calculatedColumnFormula>
    </tableColumn>
    <tableColumn id="48" xr3:uid="{00000000-0010-0000-0000-000030000000}" name="InOr" dataDxfId="0">
      <calculatedColumnFormula>IFERROR((MainTbl[[#This Row],[TotalAtoms_all]]-(MainTbl[[#This Row],[C_total]]+MainTbl[[#This Row],[H_total]]+MainTbl[[#This Row],[Li_total]]))/MainTbl[[#This Row],[C_total]],0)</calculatedColumnFormula>
    </tableColumn>
    <tableColumn id="49" xr3:uid="{00000000-0010-0000-0000-000031000000}" name="SaltName1" dataDxfId="1">
      <calculatedColumnFormula>IFERROR(VLOOKUP(MainTbl[[#This Row],[salt_1_smiles]],SaltTbl[],MATCH("Salt",SaltTbl[#Headers],0),FALSE),"")</calculatedColumnFormula>
    </tableColumn>
    <tableColumn id="50" xr3:uid="{00000000-0010-0000-0000-000032000000}" name="SaltName2" dataDxfId="57">
      <calculatedColumnFormula>IFERROR(VLOOKUP(MainTbl[[#This Row],[salt_2_smiles]],SaltTbl[],MATCH("Salt",SaltTbl[#Headers],0),FALSE),"")</calculatedColumnFormula>
    </tableColumn>
    <tableColumn id="51" xr3:uid="{00000000-0010-0000-0000-000033000000}" name="SolvName1" dataDxfId="56">
      <calculatedColumnFormula>IFERROR(VLOOKUP(MainTbl[[#This Row],[solvent_1_smiles]],SolvTbl[],MATCH("Solvent",SolvTbl[#Headers],0),FALSE),"")</calculatedColumnFormula>
    </tableColumn>
    <tableColumn id="52" xr3:uid="{00000000-0010-0000-0000-000034000000}" name="SolvName2" dataDxfId="55">
      <calculatedColumnFormula>IFERROR(VLOOKUP(MainTbl[[#This Row],[solvent_2_smiles]],SolvTbl[],MATCH("Solvent",SolvTbl[#Headers],0),FALSE),"")</calculatedColumnFormula>
    </tableColumn>
    <tableColumn id="53" xr3:uid="{00000000-0010-0000-0000-000035000000}" name="SolvName3" dataDxfId="54">
      <calculatedColumnFormula>IFERROR(VLOOKUP(MainTbl[[#This Row],[solvent_3_smiles]],SolvTbl[],MATCH("Solvent",SolvTbl[#Headers],0),FALSE),"")</calculatedColumnFormula>
    </tableColumn>
    <tableColumn id="54" xr3:uid="{00000000-0010-0000-0000-000036000000}" name="SolvCount" dataDxfId="53">
      <calculatedColumnFormula>--(MainTbl[[#This Row],[solv_1_ratio]]&gt;0)+--(MainTbl[[#This Row],[solv_2_ratio]]&gt;0)+--(MainTbl[[#This Row],[solv_3_ratio]]&gt;0)</calculatedColumnFormula>
    </tableColumn>
    <tableColumn id="55" xr3:uid="{00000000-0010-0000-0000-000037000000}" name="Salt1_text" dataDxfId="52">
      <calculatedColumnFormula>IF(AND(MainTbl[[#This Row],[SaltName1]]&lt;&gt;"",MainTbl[[#This Row],[salt_1_conc]]&gt;0),TEXT(MainTbl[[#This Row],[salt_1_conc]],"0.###")&amp;" M "&amp;MainTbl[[#This Row],[SaltName1]],"")</calculatedColumnFormula>
    </tableColumn>
    <tableColumn id="56" xr3:uid="{00000000-0010-0000-0000-000038000000}" name="Salt2_text" dataDxfId="51">
      <calculatedColumnFormula>IF(AND(MainTbl[[#This Row],[SaltName2]]&lt;&gt;"",MainTbl[[#This Row],[salt_2_conc]]&gt;0),TEXT(MainTbl[[#This Row],[salt_2_conc]],"0.###")&amp;" M "&amp;MainTbl[[#This Row],[SaltName2]],"")</calculatedColumnFormula>
    </tableColumn>
    <tableColumn id="57" xr3:uid="{00000000-0010-0000-0000-000039000000}" name="Salt_text" dataDxfId="50">
      <calculatedColumnFormula>IF(LEN(MainTbl[[#This Row],[Salt1_text]])=0,
   MainTbl[[#This Row],[Salt2_text]],
   IF(LEN(MainTbl[[#This Row],[Salt2_text]])=0,
      MainTbl[[#This Row],[Salt1_text]],
      MainTbl[[#This Row],[Salt1_text]]&amp;" + "&amp;MainTbl[[#This Row],[Salt2_text]])
)</calculatedColumnFormula>
    </tableColumn>
    <tableColumn id="58" xr3:uid="{00000000-0010-0000-0000-00003A000000}" name="Solv1_text" dataDxfId="49">
      <calculatedColumnFormula>IF(MainTbl[[#This Row],[SolvCount]]=1,MainTbl[[#This Row],[SolvName1]],IF(MainTbl[[#This Row],[solv_1_ratio]]&gt;0,MainTbl[[#This Row],[SolvName1]]&amp;" "&amp;TEXT(MainTbl[[#This Row],[solv_1_ratio]]*100,"0.##")&amp;"%",""))</calculatedColumnFormula>
    </tableColumn>
    <tableColumn id="59" xr3:uid="{00000000-0010-0000-0000-00003B000000}" name="Solv2_text" dataDxfId="48">
      <calculatedColumnFormula>IF(MainTbl[[#This Row],[SolvCount]]=1,MainTbl[[#This Row],[SolvName2]],IF(MainTbl[[#This Row],[solv_2_ratio]]&gt;0,MainTbl[[#This Row],[SolvName2]]&amp;" "&amp;TEXT(MainTbl[[#This Row],[solv_2_ratio]]*100,"0.##")&amp;"%",""))</calculatedColumnFormula>
    </tableColumn>
    <tableColumn id="60" xr3:uid="{00000000-0010-0000-0000-00003C000000}" name="Solv3_text" dataDxfId="47">
      <calculatedColumnFormula>IF(MainTbl[[#This Row],[SolvCount]]=1,MainTbl[[#This Row],[SolvName3]],IF(MainTbl[[#This Row],[solv_3_ratio]]&gt;0,MainTbl[[#This Row],[SolvName3]]&amp;" "&amp;TEXT(MainTbl[[#This Row],[solv_3_ratio]]*100,"0.##")&amp;"%",""))</calculatedColumnFormula>
    </tableColumn>
    <tableColumn id="61" xr3:uid="{00000000-0010-0000-0000-00003D000000}" name="Solvent_text" dataDxfId="46">
      <calculatedColumnFormula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calculatedColumnFormula>
    </tableColumn>
    <tableColumn id="62" xr3:uid="{00000000-0010-0000-0000-00003E000000}" name="Electrolyte_text" dataDxfId="45">
      <calculatedColumnFormula>TRIM(_xlfn.CONCAT(MainTbl[[#This Row],[Salt_text]]," ",MainTbl[[#This Row],[Solvent_text]]))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olvTbl" displayName="SolvTbl" ref="A1:N89" totalsRowShown="0" headerRowDxfId="44" dataDxfId="43">
  <autoFilter ref="A1:N89" xr:uid="{00000000-0009-0000-0100-000001000000}"/>
  <tableColumns count="14">
    <tableColumn id="13" xr3:uid="{00000000-0010-0000-0100-00000D000000}" name="SMILES" dataDxfId="42"/>
    <tableColumn id="1" xr3:uid="{00000000-0010-0000-0100-000001000000}" name="Solvent" dataDxfId="41"/>
    <tableColumn id="2" xr3:uid="{00000000-0010-0000-0100-000002000000}" name="C" dataDxfId="40"/>
    <tableColumn id="3" xr3:uid="{00000000-0010-0000-0100-000003000000}" name="H" dataDxfId="39"/>
    <tableColumn id="4" xr3:uid="{00000000-0010-0000-0100-000004000000}" name="O" dataDxfId="38"/>
    <tableColumn id="5" xr3:uid="{00000000-0010-0000-0100-000005000000}" name="F" dataDxfId="37"/>
    <tableColumn id="6" xr3:uid="{00000000-0010-0000-0100-000006000000}" name="N" dataDxfId="36"/>
    <tableColumn id="7" xr3:uid="{00000000-0010-0000-0100-000007000000}" name="S" dataDxfId="35"/>
    <tableColumn id="8" xr3:uid="{00000000-0010-0000-0100-000008000000}" name="P" dataDxfId="34"/>
    <tableColumn id="9" xr3:uid="{00000000-0010-0000-0100-000009000000}" name="B/Cl/As/Si etc." dataDxfId="33"/>
    <tableColumn id="10" xr3:uid="{00000000-0010-0000-0100-00000A000000}" name="MW" dataDxfId="32"/>
    <tableColumn id="11" xr3:uid="{00000000-0010-0000-0100-00000B000000}" name="density (g/mL)" dataDxfId="31"/>
    <tableColumn id="12" xr3:uid="{00000000-0010-0000-0100-00000C000000}" name="mol/L" dataDxfId="30">
      <calculatedColumnFormula>L2/K2*1000</calculatedColumnFormula>
    </tableColumn>
    <tableColumn id="16" xr3:uid="{00000000-0010-0000-0100-000010000000}" name="TotalAtoms" dataDxfId="29">
      <calculatedColumnFormula>SolvTbl[[#This Row],[C]]+SolvTbl[[#This Row],[H]]+SolvTbl[[#This Row],[O]]+SolvTbl[[#This Row],[F]]+SolvTbl[[#This Row],[N]]+SolvTbl[[#This Row],[S]]+SolvTbl[[#This Row],[P]]+SolvTbl[[#This Row],[B/Cl/As/Si etc.]]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altTbl" displayName="SaltTbl" ref="A1:L20" totalsRowShown="0" headerRowDxfId="28" dataDxfId="27">
  <autoFilter ref="A1:L20" xr:uid="{00000000-0009-0000-0100-000002000000}"/>
  <tableColumns count="12">
    <tableColumn id="11" xr3:uid="{00000000-0010-0000-0200-00000B000000}" name="SMILES" dataDxfId="26"/>
    <tableColumn id="1" xr3:uid="{00000000-0010-0000-0200-000001000000}" name="Salt" dataDxfId="25"/>
    <tableColumn id="2" xr3:uid="{00000000-0010-0000-0200-000002000000}" name="C" dataDxfId="24"/>
    <tableColumn id="3" xr3:uid="{00000000-0010-0000-0200-000003000000}" name="H" dataDxfId="23"/>
    <tableColumn id="4" xr3:uid="{00000000-0010-0000-0200-000004000000}" name="O" dataDxfId="22"/>
    <tableColumn id="5" xr3:uid="{00000000-0010-0000-0200-000005000000}" name="F" dataDxfId="21"/>
    <tableColumn id="6" xr3:uid="{00000000-0010-0000-0200-000006000000}" name="N" dataDxfId="20"/>
    <tableColumn id="7" xr3:uid="{00000000-0010-0000-0200-000007000000}" name="S" dataDxfId="19"/>
    <tableColumn id="8" xr3:uid="{00000000-0010-0000-0200-000008000000}" name="P" dataDxfId="18"/>
    <tableColumn id="9" xr3:uid="{00000000-0010-0000-0200-000009000000}" name="Li" dataDxfId="17"/>
    <tableColumn id="10" xr3:uid="{00000000-0010-0000-0200-00000A000000}" name="B/Cl/As/Si etc." dataDxfId="16"/>
    <tableColumn id="12" xr3:uid="{00000000-0010-0000-0200-00000C000000}" name="TotalAtoms" dataDxfId="15">
      <calculatedColumnFormula>SaltTbl[[#This Row],[C]]+SaltTbl[[#This Row],[H]]+SaltTbl[[#This Row],[O]]+SaltTbl[[#This Row],[F]]+SaltTbl[[#This Row],[N]]+SaltTbl[[#This Row],[S]]+SaltTbl[[#This Row],[P]]+SaltTbl[[#This Row],[Li]]+SaltTbl[[#This Row],[B/Cl/As/Si etc.]]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40"/>
  <sheetViews>
    <sheetView tabSelected="1" topLeftCell="AE1" zoomScaleNormal="100" workbookViewId="0">
      <selection activeCell="AP12" sqref="AP12"/>
    </sheetView>
  </sheetViews>
  <sheetFormatPr baseColWidth="10" defaultRowHeight="15" x14ac:dyDescent="0.25"/>
  <cols>
    <col min="1" max="1" width="18.42578125" customWidth="1"/>
    <col min="2" max="2" width="25" customWidth="1"/>
    <col min="3" max="3" width="18.42578125" customWidth="1"/>
    <col min="4" max="4" width="42.7109375" bestFit="1" customWidth="1"/>
    <col min="5" max="5" width="15" customWidth="1"/>
    <col min="6" max="6" width="17.140625" customWidth="1"/>
    <col min="7" max="9" width="13.85546875" customWidth="1"/>
    <col min="10" max="11" width="13.28515625" customWidth="1"/>
    <col min="18" max="18" width="11.85546875" bestFit="1" customWidth="1"/>
    <col min="49" max="50" width="0" hidden="1" customWidth="1"/>
    <col min="51" max="51" width="31.5703125" hidden="1" customWidth="1"/>
    <col min="52" max="52" width="22.42578125" hidden="1" customWidth="1"/>
    <col min="53" max="53" width="18.42578125" hidden="1" customWidth="1"/>
    <col min="54" max="54" width="12.5703125" hidden="1" customWidth="1"/>
    <col min="55" max="56" width="0" hidden="1" customWidth="1"/>
    <col min="57" max="57" width="22.7109375" hidden="1" customWidth="1"/>
    <col min="58" max="58" width="34.7109375" hidden="1" customWidth="1"/>
    <col min="59" max="59" width="19.5703125" hidden="1" customWidth="1"/>
    <col min="60" max="60" width="0" hidden="1" customWidth="1"/>
    <col min="61" max="61" width="27.85546875" hidden="1" customWidth="1"/>
    <col min="62" max="62" width="49.57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76</v>
      </c>
      <c r="N1" t="s">
        <v>77</v>
      </c>
      <c r="O1" t="s">
        <v>209</v>
      </c>
      <c r="P1" t="s">
        <v>210</v>
      </c>
      <c r="Q1" t="s">
        <v>211</v>
      </c>
      <c r="R1" t="s">
        <v>252</v>
      </c>
      <c r="S1" t="s">
        <v>253</v>
      </c>
      <c r="T1" t="s">
        <v>254</v>
      </c>
      <c r="U1" t="s">
        <v>255</v>
      </c>
      <c r="V1" t="s">
        <v>256</v>
      </c>
      <c r="W1" t="s">
        <v>257</v>
      </c>
      <c r="X1" t="s">
        <v>258</v>
      </c>
      <c r="Y1" t="s">
        <v>259</v>
      </c>
      <c r="Z1" t="s">
        <v>260</v>
      </c>
      <c r="AA1" t="s">
        <v>261</v>
      </c>
      <c r="AB1" t="s">
        <v>262</v>
      </c>
      <c r="AC1" t="s">
        <v>263</v>
      </c>
      <c r="AD1" t="s">
        <v>264</v>
      </c>
      <c r="AE1" t="s">
        <v>265</v>
      </c>
      <c r="AF1" t="s">
        <v>266</v>
      </c>
      <c r="AG1" t="s">
        <v>267</v>
      </c>
      <c r="AH1" t="s">
        <v>268</v>
      </c>
      <c r="AI1" t="s">
        <v>269</v>
      </c>
      <c r="AJ1" t="s">
        <v>172</v>
      </c>
      <c r="AK1" t="s">
        <v>270</v>
      </c>
      <c r="AL1" t="s">
        <v>271</v>
      </c>
      <c r="AM1" t="s">
        <v>174</v>
      </c>
      <c r="AN1" t="s">
        <v>272</v>
      </c>
      <c r="AO1" t="s">
        <v>273</v>
      </c>
      <c r="AP1" t="s">
        <v>171</v>
      </c>
      <c r="AQ1" t="s">
        <v>274</v>
      </c>
      <c r="AR1" t="s">
        <v>275</v>
      </c>
      <c r="AS1" t="s">
        <v>276</v>
      </c>
      <c r="AT1" t="s">
        <v>141</v>
      </c>
      <c r="AU1" t="s">
        <v>277</v>
      </c>
      <c r="AV1" t="s">
        <v>278</v>
      </c>
      <c r="AW1" t="s">
        <v>279</v>
      </c>
      <c r="AX1" t="s">
        <v>280</v>
      </c>
      <c r="AY1" t="s">
        <v>281</v>
      </c>
      <c r="AZ1" t="s">
        <v>282</v>
      </c>
      <c r="BA1" t="s">
        <v>283</v>
      </c>
      <c r="BB1" t="s">
        <v>284</v>
      </c>
      <c r="BC1" t="s">
        <v>285</v>
      </c>
      <c r="BD1" t="s">
        <v>286</v>
      </c>
      <c r="BE1" t="s">
        <v>287</v>
      </c>
      <c r="BF1" t="s">
        <v>288</v>
      </c>
      <c r="BG1" t="s">
        <v>289</v>
      </c>
      <c r="BH1" t="s">
        <v>290</v>
      </c>
      <c r="BI1" t="s">
        <v>291</v>
      </c>
      <c r="BJ1" t="s">
        <v>292</v>
      </c>
    </row>
    <row r="2" spans="1:63" x14ac:dyDescent="0.25">
      <c r="A2" t="s">
        <v>12</v>
      </c>
      <c r="D2" t="s">
        <v>13</v>
      </c>
      <c r="G2">
        <v>1</v>
      </c>
      <c r="H2">
        <v>0</v>
      </c>
      <c r="I2">
        <v>0</v>
      </c>
      <c r="J2">
        <v>1</v>
      </c>
      <c r="K2">
        <v>0</v>
      </c>
      <c r="L2">
        <v>0.8</v>
      </c>
      <c r="M2">
        <f>(L2*100)</f>
        <v>80</v>
      </c>
      <c r="N2">
        <f>-LOG10(1-L2)</f>
        <v>0.69897000433601886</v>
      </c>
      <c r="O2">
        <f>IFERROR(MainTbl[[#This Row],[solv_1_ratio]]*VLOOKUP(MainTbl[[#This Row],[solvent_1_smiles]],SolvTbl[],13,FALSE),0)</f>
        <v>11.754564689287674</v>
      </c>
      <c r="P2">
        <f>IFERROR(MainTbl[[#This Row],[solv_2_ratio]]*VLOOKUP(MainTbl[[#This Row],[solvent_2_smiles]],SolvTbl[],13,FALSE),0)</f>
        <v>0</v>
      </c>
      <c r="Q2">
        <f>IFERROR(MainTbl[[#This Row],[solv_3_ratio]]*VLOOKUP(MainTbl[[#This Row],[solvent_3_smiles]],SolvTbl[],13,FALSE),0)</f>
        <v>0</v>
      </c>
      <c r="R2">
        <f>IFERROR(MainTbl[[#This Row],[salt_1_conc]],0)</f>
        <v>1</v>
      </c>
      <c r="S2">
        <f>IFERROR(MainTbl[[#This Row],[salt_2_conc]],0)</f>
        <v>0</v>
      </c>
      <c r="T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35.263694067863021</v>
      </c>
      <c r="U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2">
        <f>MainTbl[[#This Row],[O_from_solvents]]+MainTbl[[#This Row],[O_from_salts]]</f>
        <v>39.263694067863021</v>
      </c>
      <c r="W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47.018258757150697</v>
      </c>
      <c r="X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2">
        <f>MainTbl[[#This Row],[C_from_solvents]]+MainTbl[[#This Row],[C_from_salts]]</f>
        <v>47.018258757150697</v>
      </c>
      <c r="Z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0</v>
      </c>
      <c r="AB2">
        <f>MainTbl[[#This Row],[F_from_solvents]]+MainTbl[[#This Row],[F_from_salts]]</f>
        <v>0</v>
      </c>
      <c r="AC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70.527388135726042</v>
      </c>
      <c r="AD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">
        <f>MainTbl[[#This Row],[H_from_solvents]]+MainTbl[[#This Row],[H_from_salts]]</f>
        <v>70.527388135726042</v>
      </c>
      <c r="AF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2">
        <f>MainTbl[[#This Row],[Li_from_solvents]]+MainTbl[[#This Row],[Li_from_salts]]</f>
        <v>1</v>
      </c>
      <c r="AI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158.80934096073977</v>
      </c>
      <c r="AJ2" s="2">
        <f>IFERROR(MainTbl[[#This Row],[O_total]]/MainTbl[[#This Row],[TotalAtoms_all]],0)</f>
        <v>0.24723793846339076</v>
      </c>
      <c r="AK2" s="2">
        <f>IFERROR(MainTbl[[#This Row],[O_from_solvents]]/MainTbl[[#This Row],[TotalAtoms_all]],0)</f>
        <v>0.22205050316644015</v>
      </c>
      <c r="AL2" s="2">
        <f>IFERROR(MainTbl[[#This Row],[O_from_salts]]/MainTbl[[#This Row],[TotalAtoms_all]],0)</f>
        <v>2.5187435296950601E-2</v>
      </c>
      <c r="AM2" s="2">
        <f>IFERROR(MainTbl[[#This Row],[C_total]]/MainTbl[[#This Row],[TotalAtoms_all]],0)</f>
        <v>0.29606733755525355</v>
      </c>
      <c r="AN2" s="2">
        <f>IFERROR(MainTbl[[#This Row],[C_from_solvents]]/MainTbl[[#This Row],[TotalAtoms_all]],0)</f>
        <v>0.29606733755525355</v>
      </c>
      <c r="AO2" s="2">
        <f>IFERROR(MainTbl[[#This Row],[C_from_salts]]/MainTbl[[#This Row],[TotalAtoms_all]],0)</f>
        <v>0</v>
      </c>
      <c r="AP2" s="2">
        <f>IFERROR(MainTbl[[#This Row],[F_total]]/MainTbl[[#This Row],[TotalAtoms_all]],0)</f>
        <v>0</v>
      </c>
      <c r="AQ2" s="2">
        <f>IFERROR(MainTbl[[#This Row],[F_from_solvents]]/MainTbl[[#This Row],[TotalAtoms_all]],0)</f>
        <v>0</v>
      </c>
      <c r="AR2" s="2">
        <f>IFERROR(MainTbl[[#This Row],[F_from_salts]]/MainTbl[[#This Row],[TotalAtoms_all]],0)</f>
        <v>0</v>
      </c>
      <c r="AS2" s="2">
        <f>IFERROR(MainTbl[[#This Row],[F_total]]/MainTbl[[#This Row],[O_total]],0)</f>
        <v>0</v>
      </c>
      <c r="AT2" s="2">
        <f>IFERROR(MainTbl[[#This Row],[F_total]]/MainTbl[[#This Row],[C_total]],0)</f>
        <v>0</v>
      </c>
      <c r="AU2" s="2">
        <f>IFERROR(MainTbl[[#This Row],[O_total]]/MainTbl[[#This Row],[C_total]],0)</f>
        <v>0.83507333333333333</v>
      </c>
      <c r="AV2" s="2">
        <f>IFERROR((MainTbl[[#This Row],[TotalAtoms_all]]-(MainTbl[[#This Row],[C_total]]+MainTbl[[#This Row],[H_total]]+MainTbl[[#This Row],[Li_total]]))/MainTbl[[#This Row],[C_total]],0)</f>
        <v>0.85634166666666711</v>
      </c>
      <c r="AW2" t="str">
        <f>IFERROR(VLOOKUP(MainTbl[[#This Row],[salt_1_smiles]],SaltTbl[],MATCH("Salt",SaltTbl[#Headers],0),FALSE),"")</f>
        <v>LiClO4</v>
      </c>
      <c r="AX2" t="str">
        <f>IFERROR(VLOOKUP(MainTbl[[#This Row],[salt_2_smiles]],SaltTbl[],MATCH("Salt",SaltTbl[#Headers],0),FALSE),"")</f>
        <v/>
      </c>
      <c r="AY2" t="str">
        <f>IFERROR(VLOOKUP(MainTbl[[#This Row],[solvent_1_smiles]],SolvTbl[],MATCH("Solvent",SolvTbl[#Headers],0),FALSE),"")</f>
        <v>PC (C4H6O3)</v>
      </c>
      <c r="AZ2" t="str">
        <f>IFERROR(VLOOKUP(MainTbl[[#This Row],[solvent_2_smiles]],SolvTbl[],MATCH("Solvent",SolvTbl[#Headers],0),FALSE),"")</f>
        <v/>
      </c>
      <c r="BA2" t="str">
        <f>IFERROR(VLOOKUP(MainTbl[[#This Row],[solvent_3_smiles]],SolvTbl[],MATCH("Solvent",SolvTbl[#Headers],0),FALSE),"")</f>
        <v/>
      </c>
      <c r="BB2">
        <f>--(MainTbl[[#This Row],[solv_1_ratio]]&gt;0)+--(MainTbl[[#This Row],[solv_2_ratio]]&gt;0)+--(MainTbl[[#This Row],[solv_3_ratio]]&gt;0)</f>
        <v>1</v>
      </c>
      <c r="BC2" t="str">
        <f>IF(AND(MainTbl[[#This Row],[SaltName1]]&lt;&gt;"",MainTbl[[#This Row],[salt_1_conc]]&gt;0),TEXT(MainTbl[[#This Row],[salt_1_conc]],"0.###")&amp;" M "&amp;MainTbl[[#This Row],[SaltName1]],"")</f>
        <v>1. M LiClO4</v>
      </c>
      <c r="BD2" t="str">
        <f>IF(AND(MainTbl[[#This Row],[SaltName2]]&lt;&gt;"",MainTbl[[#This Row],[salt_2_conc]]&gt;0),TEXT(MainTbl[[#This Row],[salt_2_conc]],"0.###")&amp;" M "&amp;MainTbl[[#This Row],[SaltName2]],"")</f>
        <v/>
      </c>
      <c r="BE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LiClO4</v>
      </c>
      <c r="BF2" t="str">
        <f>IF(MainTbl[[#This Row],[SolvCount]]=1,MainTbl[[#This Row],[SolvName1]],IF(MainTbl[[#This Row],[solv_1_ratio]]&gt;0,MainTbl[[#This Row],[SolvName1]]&amp;" "&amp;TEXT(MainTbl[[#This Row],[solv_1_ratio]]*100,"0.##")&amp;"%",""))</f>
        <v>PC (C4H6O3)</v>
      </c>
      <c r="BG2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PC (C4H6O3)</v>
      </c>
      <c r="BJ2" t="str">
        <f>TRIM(_xlfn.CONCAT(MainTbl[[#This Row],[Salt_text]]," ",MainTbl[[#This Row],[Solvent_text]]))</f>
        <v>1. M LiClO4 PC (C4H6O3)</v>
      </c>
      <c r="BK2" t="str">
        <f>IFERROR(VLOOKUP(BK12,SaltTbl[],MATCH("Salt",SaltTbl[#Headers],0),FALSE),"")</f>
        <v/>
      </c>
    </row>
    <row r="3" spans="1:63" x14ac:dyDescent="0.25">
      <c r="A3" t="s">
        <v>14</v>
      </c>
      <c r="D3" t="s">
        <v>15</v>
      </c>
      <c r="G3">
        <v>1</v>
      </c>
      <c r="H3">
        <v>0</v>
      </c>
      <c r="I3">
        <v>0</v>
      </c>
      <c r="J3">
        <v>1</v>
      </c>
      <c r="K3">
        <v>0</v>
      </c>
      <c r="L3">
        <v>0.89400000000000002</v>
      </c>
      <c r="M3">
        <f t="shared" ref="M3:M66" si="0">(L3*100)</f>
        <v>89.4</v>
      </c>
      <c r="N3">
        <f t="shared" ref="N3:N66" si="1">-LOG10(1-L3)</f>
        <v>0.97469413473522981</v>
      </c>
      <c r="O3">
        <f>IFERROR(MainTbl[[#This Row],[solv_1_ratio]]*VLOOKUP(MainTbl[[#This Row],[solvent_1_smiles]],SolvTbl[],13,FALSE),0)</f>
        <v>12.315544213913237</v>
      </c>
      <c r="P3">
        <f>IFERROR(MainTbl[[#This Row],[solv_2_ratio]]*VLOOKUP(MainTbl[[#This Row],[solvent_2_smiles]],SolvTbl[],13,FALSE),0)</f>
        <v>0</v>
      </c>
      <c r="Q3">
        <f>IFERROR(MainTbl[[#This Row],[solv_3_ratio]]*VLOOKUP(MainTbl[[#This Row],[solvent_3_smiles]],SolvTbl[],13,FALSE),0)</f>
        <v>0</v>
      </c>
      <c r="R3">
        <f>IFERROR(MainTbl[[#This Row],[salt_1_conc]],0)</f>
        <v>1</v>
      </c>
      <c r="S3">
        <f>IFERROR(MainTbl[[#This Row],[salt_2_conc]],0)</f>
        <v>0</v>
      </c>
      <c r="T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12.315544213913237</v>
      </c>
      <c r="U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">
        <f>MainTbl[[#This Row],[O_from_solvents]]+MainTbl[[#This Row],[O_from_salts]]</f>
        <v>12.315544213913237</v>
      </c>
      <c r="W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49.262176855652946</v>
      </c>
      <c r="X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">
        <f>MainTbl[[#This Row],[C_from_solvents]]+MainTbl[[#This Row],[C_from_salts]]</f>
        <v>49.262176855652946</v>
      </c>
      <c r="Z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3">
        <f>MainTbl[[#This Row],[F_from_solvents]]+MainTbl[[#This Row],[F_from_salts]]</f>
        <v>6</v>
      </c>
      <c r="AC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98.524353711305892</v>
      </c>
      <c r="AD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">
        <f>MainTbl[[#This Row],[H_from_solvents]]+MainTbl[[#This Row],[H_from_salts]]</f>
        <v>98.524353711305892</v>
      </c>
      <c r="AF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3">
        <f>MainTbl[[#This Row],[Li_from_solvents]]+MainTbl[[#This Row],[Li_from_salts]]</f>
        <v>1</v>
      </c>
      <c r="AI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168.10207478087207</v>
      </c>
      <c r="AJ3" s="2">
        <f>IFERROR(MainTbl[[#This Row],[O_total]]/MainTbl[[#This Row],[TotalAtoms_all]],0)</f>
        <v>7.3262297505649776E-2</v>
      </c>
      <c r="AK3" s="2">
        <f>IFERROR(MainTbl[[#This Row],[O_from_solvents]]/MainTbl[[#This Row],[TotalAtoms_all]],0)</f>
        <v>7.3262297505649776E-2</v>
      </c>
      <c r="AL3" s="2">
        <f>IFERROR(MainTbl[[#This Row],[O_from_salts]]/MainTbl[[#This Row],[TotalAtoms_all]],0)</f>
        <v>0</v>
      </c>
      <c r="AM3" s="2">
        <f>IFERROR(MainTbl[[#This Row],[C_total]]/MainTbl[[#This Row],[TotalAtoms_all]],0)</f>
        <v>0.2930491900225991</v>
      </c>
      <c r="AN3" s="2">
        <f>IFERROR(MainTbl[[#This Row],[C_from_solvents]]/MainTbl[[#This Row],[TotalAtoms_all]],0)</f>
        <v>0.2930491900225991</v>
      </c>
      <c r="AO3" s="2">
        <f>IFERROR(MainTbl[[#This Row],[C_from_salts]]/MainTbl[[#This Row],[TotalAtoms_all]],0)</f>
        <v>0</v>
      </c>
      <c r="AP3" s="2">
        <f>IFERROR(MainTbl[[#This Row],[F_total]]/MainTbl[[#This Row],[TotalAtoms_all]],0)</f>
        <v>3.569259931991467E-2</v>
      </c>
      <c r="AQ3" s="2">
        <f>IFERROR(MainTbl[[#This Row],[F_from_solvents]]/MainTbl[[#This Row],[TotalAtoms_all]],0)</f>
        <v>0</v>
      </c>
      <c r="AR3" s="2">
        <f>IFERROR(MainTbl[[#This Row],[F_from_salts]]/MainTbl[[#This Row],[TotalAtoms_all]],0)</f>
        <v>3.569259931991467E-2</v>
      </c>
      <c r="AS3" s="2">
        <f>IFERROR(MainTbl[[#This Row],[F_total]]/MainTbl[[#This Row],[O_total]],0)</f>
        <v>0.48718918918918919</v>
      </c>
      <c r="AT3" s="2">
        <f>IFERROR(MainTbl[[#This Row],[F_total]]/MainTbl[[#This Row],[C_total]],0)</f>
        <v>0.1217972972972973</v>
      </c>
      <c r="AU3" s="2">
        <f>IFERROR(MainTbl[[#This Row],[O_total]]/MainTbl[[#This Row],[C_total]],0)</f>
        <v>0.25</v>
      </c>
      <c r="AV3" s="2">
        <f>IFERROR((MainTbl[[#This Row],[TotalAtoms_all]]-(MainTbl[[#This Row],[C_total]]+MainTbl[[#This Row],[H_total]]+MainTbl[[#This Row],[Li_total]]))/MainTbl[[#This Row],[C_total]],0)</f>
        <v>0.39209684684684665</v>
      </c>
      <c r="AW3" t="str">
        <f>IFERROR(VLOOKUP(MainTbl[[#This Row],[salt_1_smiles]],SaltTbl[],MATCH("Salt",SaltTbl[#Headers],0),FALSE),"")</f>
        <v>LiAsF6</v>
      </c>
      <c r="AX3" t="str">
        <f>IFERROR(VLOOKUP(MainTbl[[#This Row],[salt_2_smiles]],SaltTbl[],MATCH("Salt",SaltTbl[#Headers],0),FALSE),"")</f>
        <v/>
      </c>
      <c r="AY3" t="str">
        <f>IFERROR(VLOOKUP(MainTbl[[#This Row],[solvent_1_smiles]],SolvTbl[],MATCH("Solvent",SolvTbl[#Headers],0),FALSE),"")</f>
        <v>THF (C4H8O)</v>
      </c>
      <c r="AZ3" t="str">
        <f>IFERROR(VLOOKUP(MainTbl[[#This Row],[solvent_2_smiles]],SolvTbl[],MATCH("Solvent",SolvTbl[#Headers],0),FALSE),"")</f>
        <v/>
      </c>
      <c r="BA3" t="str">
        <f>IFERROR(VLOOKUP(MainTbl[[#This Row],[solvent_3_smiles]],SolvTbl[],MATCH("Solvent",SolvTbl[#Headers],0),FALSE),"")</f>
        <v/>
      </c>
      <c r="BB3">
        <f>--(MainTbl[[#This Row],[solv_1_ratio]]&gt;0)+--(MainTbl[[#This Row],[solv_2_ratio]]&gt;0)+--(MainTbl[[#This Row],[solv_3_ratio]]&gt;0)</f>
        <v>1</v>
      </c>
      <c r="BC3" t="str">
        <f>IF(AND(MainTbl[[#This Row],[SaltName1]]&lt;&gt;"",MainTbl[[#This Row],[salt_1_conc]]&gt;0),TEXT(MainTbl[[#This Row],[salt_1_conc]],"0.###")&amp;" M "&amp;MainTbl[[#This Row],[SaltName1]],"")</f>
        <v>1. M LiAsF6</v>
      </c>
      <c r="BD3" t="str">
        <f>IF(AND(MainTbl[[#This Row],[SaltName2]]&lt;&gt;"",MainTbl[[#This Row],[salt_2_conc]]&gt;0),TEXT(MainTbl[[#This Row],[salt_2_conc]],"0.###")&amp;" M "&amp;MainTbl[[#This Row],[SaltName2]],"")</f>
        <v/>
      </c>
      <c r="BE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LiAsF6</v>
      </c>
      <c r="BF3" t="str">
        <f>IF(MainTbl[[#This Row],[SolvCount]]=1,MainTbl[[#This Row],[SolvName1]],IF(MainTbl[[#This Row],[solv_1_ratio]]&gt;0,MainTbl[[#This Row],[SolvName1]]&amp;" "&amp;TEXT(MainTbl[[#This Row],[solv_1_ratio]]*100,"0.##")&amp;"%",""))</f>
        <v>THF (C4H8O)</v>
      </c>
      <c r="BG3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THF (C4H8O)</v>
      </c>
      <c r="BJ3" t="str">
        <f>TRIM(_xlfn.CONCAT(MainTbl[[#This Row],[Salt_text]]," ",MainTbl[[#This Row],[Solvent_text]]))</f>
        <v>1. M LiAsF6 THF (C4H8O)</v>
      </c>
    </row>
    <row r="4" spans="1:63" x14ac:dyDescent="0.25">
      <c r="A4" t="s">
        <v>16</v>
      </c>
      <c r="D4" t="s">
        <v>15</v>
      </c>
      <c r="G4">
        <v>1</v>
      </c>
      <c r="H4">
        <v>0</v>
      </c>
      <c r="I4">
        <v>0</v>
      </c>
      <c r="J4">
        <v>1</v>
      </c>
      <c r="K4">
        <v>0</v>
      </c>
      <c r="L4">
        <v>0.97399999999999998</v>
      </c>
      <c r="M4">
        <f t="shared" si="0"/>
        <v>97.399999999999991</v>
      </c>
      <c r="N4">
        <f t="shared" si="1"/>
        <v>1.5850266520291816</v>
      </c>
      <c r="O4">
        <f>IFERROR(MainTbl[[#This Row],[solv_1_ratio]]*VLOOKUP(MainTbl[[#This Row],[solvent_1_smiles]],SolvTbl[],13,FALSE),0)</f>
        <v>9.9268547544409618</v>
      </c>
      <c r="P4">
        <f>IFERROR(MainTbl[[#This Row],[solv_2_ratio]]*VLOOKUP(MainTbl[[#This Row],[solvent_2_smiles]],SolvTbl[],13,FALSE),0)</f>
        <v>0</v>
      </c>
      <c r="Q4">
        <f>IFERROR(MainTbl[[#This Row],[solv_3_ratio]]*VLOOKUP(MainTbl[[#This Row],[solvent_3_smiles]],SolvTbl[],13,FALSE),0)</f>
        <v>0</v>
      </c>
      <c r="R4">
        <f>IFERROR(MainTbl[[#This Row],[salt_1_conc]],0)</f>
        <v>1</v>
      </c>
      <c r="S4">
        <f>IFERROR(MainTbl[[#This Row],[salt_2_conc]],0)</f>
        <v>0</v>
      </c>
      <c r="T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9.9268547544409618</v>
      </c>
      <c r="U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">
        <f>MainTbl[[#This Row],[O_from_solvents]]+MainTbl[[#This Row],[O_from_salts]]</f>
        <v>9.9268547544409618</v>
      </c>
      <c r="W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49.634273772204807</v>
      </c>
      <c r="X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">
        <f>MainTbl[[#This Row],[C_from_solvents]]+MainTbl[[#This Row],[C_from_salts]]</f>
        <v>49.634273772204807</v>
      </c>
      <c r="Z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4">
        <f>MainTbl[[#This Row],[F_from_solvents]]+MainTbl[[#This Row],[F_from_salts]]</f>
        <v>6</v>
      </c>
      <c r="AC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99.268547544409614</v>
      </c>
      <c r="AD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">
        <f>MainTbl[[#This Row],[H_from_solvents]]+MainTbl[[#This Row],[H_from_salts]]</f>
        <v>99.268547544409614</v>
      </c>
      <c r="AF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4">
        <f>MainTbl[[#This Row],[Li_from_solvents]]+MainTbl[[#This Row],[Li_from_salts]]</f>
        <v>1</v>
      </c>
      <c r="AI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166.82967607105539</v>
      </c>
      <c r="AJ4" s="2">
        <f>IFERROR(MainTbl[[#This Row],[O_total]]/MainTbl[[#This Row],[TotalAtoms_all]],0)</f>
        <v>5.9502931302299944E-2</v>
      </c>
      <c r="AK4" s="2">
        <f>IFERROR(MainTbl[[#This Row],[O_from_solvents]]/MainTbl[[#This Row],[TotalAtoms_all]],0)</f>
        <v>5.9502931302299944E-2</v>
      </c>
      <c r="AL4" s="2">
        <f>IFERROR(MainTbl[[#This Row],[O_from_salts]]/MainTbl[[#This Row],[TotalAtoms_all]],0)</f>
        <v>0</v>
      </c>
      <c r="AM4" s="2">
        <f>IFERROR(MainTbl[[#This Row],[C_total]]/MainTbl[[#This Row],[TotalAtoms_all]],0)</f>
        <v>0.29751465651149972</v>
      </c>
      <c r="AN4" s="2">
        <f>IFERROR(MainTbl[[#This Row],[C_from_solvents]]/MainTbl[[#This Row],[TotalAtoms_all]],0)</f>
        <v>0.29751465651149972</v>
      </c>
      <c r="AO4" s="2">
        <f>IFERROR(MainTbl[[#This Row],[C_from_salts]]/MainTbl[[#This Row],[TotalAtoms_all]],0)</f>
        <v>0</v>
      </c>
      <c r="AP4" s="2">
        <f>IFERROR(MainTbl[[#This Row],[F_total]]/MainTbl[[#This Row],[TotalAtoms_all]],0)</f>
        <v>3.5964824372400658E-2</v>
      </c>
      <c r="AQ4" s="2">
        <f>IFERROR(MainTbl[[#This Row],[F_from_solvents]]/MainTbl[[#This Row],[TotalAtoms_all]],0)</f>
        <v>0</v>
      </c>
      <c r="AR4" s="2">
        <f>IFERROR(MainTbl[[#This Row],[F_from_salts]]/MainTbl[[#This Row],[TotalAtoms_all]],0)</f>
        <v>3.5964824372400658E-2</v>
      </c>
      <c r="AS4" s="2">
        <f>IFERROR(MainTbl[[#This Row],[F_total]]/MainTbl[[#This Row],[O_total]],0)</f>
        <v>0.60442105263157897</v>
      </c>
      <c r="AT4" s="2">
        <f>IFERROR(MainTbl[[#This Row],[F_total]]/MainTbl[[#This Row],[C_total]],0)</f>
        <v>0.12088421052631579</v>
      </c>
      <c r="AU4" s="2">
        <f>IFERROR(MainTbl[[#This Row],[O_total]]/MainTbl[[#This Row],[C_total]],0)</f>
        <v>0.2</v>
      </c>
      <c r="AV4" s="2">
        <f>IFERROR((MainTbl[[#This Row],[TotalAtoms_all]]-(MainTbl[[#This Row],[C_total]]+MainTbl[[#This Row],[H_total]]+MainTbl[[#This Row],[Li_total]]))/MainTbl[[#This Row],[C_total]],0)</f>
        <v>0.34103157894736852</v>
      </c>
      <c r="AW4" t="str">
        <f>IFERROR(VLOOKUP(MainTbl[[#This Row],[salt_1_smiles]],SaltTbl[],MATCH("Salt",SaltTbl[#Headers],0),FALSE),"")</f>
        <v>LiAsF6</v>
      </c>
      <c r="AX4" t="str">
        <f>IFERROR(VLOOKUP(MainTbl[[#This Row],[salt_2_smiles]],SaltTbl[],MATCH("Salt",SaltTbl[#Headers],0),FALSE),"")</f>
        <v/>
      </c>
      <c r="AY4" t="str">
        <f>IFERROR(VLOOKUP(MainTbl[[#This Row],[solvent_1_smiles]],SolvTbl[],MATCH("Solvent",SolvTbl[#Headers],0),FALSE),"")</f>
        <v>2-Methyltetrahydrofuran</v>
      </c>
      <c r="AZ4" t="str">
        <f>IFERROR(VLOOKUP(MainTbl[[#This Row],[solvent_2_smiles]],SolvTbl[],MATCH("Solvent",SolvTbl[#Headers],0),FALSE),"")</f>
        <v/>
      </c>
      <c r="BA4" t="str">
        <f>IFERROR(VLOOKUP(MainTbl[[#This Row],[solvent_3_smiles]],SolvTbl[],MATCH("Solvent",SolvTbl[#Headers],0),FALSE),"")</f>
        <v/>
      </c>
      <c r="BB4">
        <f>--(MainTbl[[#This Row],[solv_1_ratio]]&gt;0)+--(MainTbl[[#This Row],[solv_2_ratio]]&gt;0)+--(MainTbl[[#This Row],[solv_3_ratio]]&gt;0)</f>
        <v>1</v>
      </c>
      <c r="BC4" t="str">
        <f>IF(AND(MainTbl[[#This Row],[SaltName1]]&lt;&gt;"",MainTbl[[#This Row],[salt_1_conc]]&gt;0),TEXT(MainTbl[[#This Row],[salt_1_conc]],"0.###")&amp;" M "&amp;MainTbl[[#This Row],[SaltName1]],"")</f>
        <v>1. M LiAsF6</v>
      </c>
      <c r="BD4" t="str">
        <f>IF(AND(MainTbl[[#This Row],[SaltName2]]&lt;&gt;"",MainTbl[[#This Row],[salt_2_conc]]&gt;0),TEXT(MainTbl[[#This Row],[salt_2_conc]],"0.###")&amp;" M "&amp;MainTbl[[#This Row],[SaltName2]],"")</f>
        <v/>
      </c>
      <c r="BE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LiAsF6</v>
      </c>
      <c r="BF4" t="str">
        <f>IF(MainTbl[[#This Row],[SolvCount]]=1,MainTbl[[#This Row],[SolvName1]],IF(MainTbl[[#This Row],[solv_1_ratio]]&gt;0,MainTbl[[#This Row],[SolvName1]]&amp;" "&amp;TEXT(MainTbl[[#This Row],[solv_1_ratio]]*100,"0.##")&amp;"%",""))</f>
        <v>2-Methyltetrahydrofuran</v>
      </c>
      <c r="BG4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2-Methyltetrahydrofuran</v>
      </c>
      <c r="BJ4" t="str">
        <f>TRIM(_xlfn.CONCAT(MainTbl[[#This Row],[Salt_text]]," ",MainTbl[[#This Row],[Solvent_text]]))</f>
        <v>1. M LiAsF6 2-Methyltetrahydrofuran</v>
      </c>
    </row>
    <row r="5" spans="1:63" x14ac:dyDescent="0.25">
      <c r="A5" t="s">
        <v>16</v>
      </c>
      <c r="D5" t="s">
        <v>15</v>
      </c>
      <c r="G5">
        <v>1</v>
      </c>
      <c r="H5">
        <v>0</v>
      </c>
      <c r="I5">
        <v>0</v>
      </c>
      <c r="J5">
        <v>1.5</v>
      </c>
      <c r="K5">
        <v>0</v>
      </c>
      <c r="L5">
        <v>0.97399999999999998</v>
      </c>
      <c r="M5">
        <f t="shared" si="0"/>
        <v>97.399999999999991</v>
      </c>
      <c r="N5">
        <f t="shared" si="1"/>
        <v>1.5850266520291816</v>
      </c>
      <c r="O5">
        <f>IFERROR(MainTbl[[#This Row],[solv_1_ratio]]*VLOOKUP(MainTbl[[#This Row],[solvent_1_smiles]],SolvTbl[],13,FALSE),0)</f>
        <v>9.9268547544409618</v>
      </c>
      <c r="P5">
        <f>IFERROR(MainTbl[[#This Row],[solv_2_ratio]]*VLOOKUP(MainTbl[[#This Row],[solvent_2_smiles]],SolvTbl[],13,FALSE),0)</f>
        <v>0</v>
      </c>
      <c r="Q5">
        <f>IFERROR(MainTbl[[#This Row],[solv_3_ratio]]*VLOOKUP(MainTbl[[#This Row],[solvent_3_smiles]],SolvTbl[],13,FALSE),0)</f>
        <v>0</v>
      </c>
      <c r="R5">
        <f>IFERROR(MainTbl[[#This Row],[salt_1_conc]],0)</f>
        <v>1.5</v>
      </c>
      <c r="S5">
        <f>IFERROR(MainTbl[[#This Row],[salt_2_conc]],0)</f>
        <v>0</v>
      </c>
      <c r="T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9.9268547544409618</v>
      </c>
      <c r="U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5">
        <f>MainTbl[[#This Row],[O_from_solvents]]+MainTbl[[#This Row],[O_from_salts]]</f>
        <v>9.9268547544409618</v>
      </c>
      <c r="W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49.634273772204807</v>
      </c>
      <c r="X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5">
        <f>MainTbl[[#This Row],[C_from_solvents]]+MainTbl[[#This Row],[C_from_salts]]</f>
        <v>49.634273772204807</v>
      </c>
      <c r="Z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9</v>
      </c>
      <c r="AB5">
        <f>MainTbl[[#This Row],[F_from_solvents]]+MainTbl[[#This Row],[F_from_salts]]</f>
        <v>9</v>
      </c>
      <c r="AC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99.268547544409614</v>
      </c>
      <c r="AD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">
        <f>MainTbl[[#This Row],[H_from_solvents]]+MainTbl[[#This Row],[H_from_salts]]</f>
        <v>99.268547544409614</v>
      </c>
      <c r="AF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1.5</v>
      </c>
      <c r="AH5">
        <f>MainTbl[[#This Row],[Li_from_solvents]]+MainTbl[[#This Row],[Li_from_salts]]</f>
        <v>1.5</v>
      </c>
      <c r="AI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170.82967607105539</v>
      </c>
      <c r="AJ5" s="2">
        <f>IFERROR(MainTbl[[#This Row],[O_total]]/MainTbl[[#This Row],[TotalAtoms_all]],0)</f>
        <v>5.810966210760686E-2</v>
      </c>
      <c r="AK5" s="2">
        <f>IFERROR(MainTbl[[#This Row],[O_from_solvents]]/MainTbl[[#This Row],[TotalAtoms_all]],0)</f>
        <v>5.810966210760686E-2</v>
      </c>
      <c r="AL5" s="2">
        <f>IFERROR(MainTbl[[#This Row],[O_from_salts]]/MainTbl[[#This Row],[TotalAtoms_all]],0)</f>
        <v>0</v>
      </c>
      <c r="AM5" s="2">
        <f>IFERROR(MainTbl[[#This Row],[C_total]]/MainTbl[[#This Row],[TotalAtoms_all]],0)</f>
        <v>0.29054831053803432</v>
      </c>
      <c r="AN5" s="2">
        <f>IFERROR(MainTbl[[#This Row],[C_from_solvents]]/MainTbl[[#This Row],[TotalAtoms_all]],0)</f>
        <v>0.29054831053803432</v>
      </c>
      <c r="AO5" s="2">
        <f>IFERROR(MainTbl[[#This Row],[C_from_salts]]/MainTbl[[#This Row],[TotalAtoms_all]],0)</f>
        <v>0</v>
      </c>
      <c r="AP5" s="2">
        <f>IFERROR(MainTbl[[#This Row],[F_total]]/MainTbl[[#This Row],[TotalAtoms_all]],0)</f>
        <v>5.2684054708717669E-2</v>
      </c>
      <c r="AQ5" s="2">
        <f>IFERROR(MainTbl[[#This Row],[F_from_solvents]]/MainTbl[[#This Row],[TotalAtoms_all]],0)</f>
        <v>0</v>
      </c>
      <c r="AR5" s="2">
        <f>IFERROR(MainTbl[[#This Row],[F_from_salts]]/MainTbl[[#This Row],[TotalAtoms_all]],0)</f>
        <v>5.2684054708717669E-2</v>
      </c>
      <c r="AS5" s="2">
        <f>IFERROR(MainTbl[[#This Row],[F_total]]/MainTbl[[#This Row],[O_total]],0)</f>
        <v>0.90663157894736834</v>
      </c>
      <c r="AT5" s="2">
        <f>IFERROR(MainTbl[[#This Row],[F_total]]/MainTbl[[#This Row],[C_total]],0)</f>
        <v>0.1813263157894737</v>
      </c>
      <c r="AU5" s="2">
        <f>IFERROR(MainTbl[[#This Row],[O_total]]/MainTbl[[#This Row],[C_total]],0)</f>
        <v>0.2</v>
      </c>
      <c r="AV5" s="2">
        <f>IFERROR((MainTbl[[#This Row],[TotalAtoms_all]]-(MainTbl[[#This Row],[C_total]]+MainTbl[[#This Row],[H_total]]+MainTbl[[#This Row],[Li_total]]))/MainTbl[[#This Row],[C_total]],0)</f>
        <v>0.41154736842105272</v>
      </c>
      <c r="AW5" t="str">
        <f>IFERROR(VLOOKUP(MainTbl[[#This Row],[salt_1_smiles]],SaltTbl[],MATCH("Salt",SaltTbl[#Headers],0),FALSE),"")</f>
        <v>LiAsF6</v>
      </c>
      <c r="AX5" t="str">
        <f>IFERROR(VLOOKUP(MainTbl[[#This Row],[salt_2_smiles]],SaltTbl[],MATCH("Salt",SaltTbl[#Headers],0),FALSE),"")</f>
        <v/>
      </c>
      <c r="AY5" t="str">
        <f>IFERROR(VLOOKUP(MainTbl[[#This Row],[solvent_1_smiles]],SolvTbl[],MATCH("Solvent",SolvTbl[#Headers],0),FALSE),"")</f>
        <v>2-Methyltetrahydrofuran</v>
      </c>
      <c r="AZ5" t="str">
        <f>IFERROR(VLOOKUP(MainTbl[[#This Row],[solvent_2_smiles]],SolvTbl[],MATCH("Solvent",SolvTbl[#Headers],0),FALSE),"")</f>
        <v/>
      </c>
      <c r="BA5" t="str">
        <f>IFERROR(VLOOKUP(MainTbl[[#This Row],[solvent_3_smiles]],SolvTbl[],MATCH("Solvent",SolvTbl[#Headers],0),FALSE),"")</f>
        <v/>
      </c>
      <c r="BB5">
        <f>--(MainTbl[[#This Row],[solv_1_ratio]]&gt;0)+--(MainTbl[[#This Row],[solv_2_ratio]]&gt;0)+--(MainTbl[[#This Row],[solv_3_ratio]]&gt;0)</f>
        <v>1</v>
      </c>
      <c r="BC5" t="str">
        <f>IF(AND(MainTbl[[#This Row],[SaltName1]]&lt;&gt;"",MainTbl[[#This Row],[salt_1_conc]]&gt;0),TEXT(MainTbl[[#This Row],[salt_1_conc]],"0.###")&amp;" M "&amp;MainTbl[[#This Row],[SaltName1]],"")</f>
        <v>1.5 M LiAsF6</v>
      </c>
      <c r="BD5" t="str">
        <f>IF(AND(MainTbl[[#This Row],[SaltName2]]&lt;&gt;"",MainTbl[[#This Row],[salt_2_conc]]&gt;0),TEXT(MainTbl[[#This Row],[salt_2_conc]],"0.###")&amp;" M "&amp;MainTbl[[#This Row],[SaltName2]],"")</f>
        <v/>
      </c>
      <c r="BE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1.5 M LiAsF6</v>
      </c>
      <c r="BF5" t="str">
        <f>IF(MainTbl[[#This Row],[SolvCount]]=1,MainTbl[[#This Row],[SolvName1]],IF(MainTbl[[#This Row],[solv_1_ratio]]&gt;0,MainTbl[[#This Row],[SolvName1]]&amp;" "&amp;TEXT(MainTbl[[#This Row],[solv_1_ratio]]*100,"0.##")&amp;"%",""))</f>
        <v>2-Methyltetrahydrofuran</v>
      </c>
      <c r="BG5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2-Methyltetrahydrofuran</v>
      </c>
      <c r="BJ5" t="str">
        <f>TRIM(_xlfn.CONCAT(MainTbl[[#This Row],[Salt_text]]," ",MainTbl[[#This Row],[Solvent_text]]))</f>
        <v>1.5 M LiAsF6 2-Methyltetrahydrofuran</v>
      </c>
    </row>
    <row r="6" spans="1:63" x14ac:dyDescent="0.25">
      <c r="A6" t="s">
        <v>17</v>
      </c>
      <c r="B6" t="s">
        <v>14</v>
      </c>
      <c r="D6" t="s">
        <v>15</v>
      </c>
      <c r="G6">
        <v>0.9</v>
      </c>
      <c r="H6">
        <v>0.1</v>
      </c>
      <c r="I6">
        <v>0</v>
      </c>
      <c r="J6">
        <v>2.5</v>
      </c>
      <c r="K6">
        <v>0</v>
      </c>
      <c r="L6">
        <v>0.97799999999999998</v>
      </c>
      <c r="M6">
        <f t="shared" si="0"/>
        <v>97.8</v>
      </c>
      <c r="N6">
        <f t="shared" si="1"/>
        <v>1.6575773191777934</v>
      </c>
      <c r="O6">
        <f>IFERROR(MainTbl[[#This Row],[solv_1_ratio]]*VLOOKUP(MainTbl[[#This Row],[solvent_1_smiles]],SolvTbl[],13,FALSE),0)</f>
        <v>8.6624392876416625</v>
      </c>
      <c r="P6">
        <f>IFERROR(MainTbl[[#This Row],[solv_2_ratio]]*VLOOKUP(MainTbl[[#This Row],[solvent_2_smiles]],SolvTbl[],13,FALSE),0)</f>
        <v>1.2315544213913237</v>
      </c>
      <c r="Q6">
        <f>IFERROR(MainTbl[[#This Row],[solv_3_ratio]]*VLOOKUP(MainTbl[[#This Row],[solvent_3_smiles]],SolvTbl[],13,FALSE),0)</f>
        <v>0</v>
      </c>
      <c r="R6">
        <f>IFERROR(MainTbl[[#This Row],[salt_1_conc]],0)</f>
        <v>2.5</v>
      </c>
      <c r="S6">
        <f>IFERROR(MainTbl[[#This Row],[salt_2_conc]],0)</f>
        <v>0</v>
      </c>
      <c r="T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9.893993709032987</v>
      </c>
      <c r="U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6">
        <f>MainTbl[[#This Row],[O_from_solvents]]+MainTbl[[#This Row],[O_from_salts]]</f>
        <v>9.893993709032987</v>
      </c>
      <c r="W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39.575974836131948</v>
      </c>
      <c r="X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">
        <f>MainTbl[[#This Row],[C_from_solvents]]+MainTbl[[#This Row],[C_from_salts]]</f>
        <v>39.575974836131948</v>
      </c>
      <c r="Z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15</v>
      </c>
      <c r="AB6">
        <f>MainTbl[[#This Row],[F_from_solvents]]+MainTbl[[#This Row],[F_from_salts]]</f>
        <v>15</v>
      </c>
      <c r="AC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96.476828247547218</v>
      </c>
      <c r="AD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">
        <f>MainTbl[[#This Row],[H_from_solvents]]+MainTbl[[#This Row],[H_from_salts]]</f>
        <v>96.476828247547218</v>
      </c>
      <c r="AF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2.5</v>
      </c>
      <c r="AH6">
        <f>MainTbl[[#This Row],[Li_from_solvents]]+MainTbl[[#This Row],[Li_from_salts]]</f>
        <v>2.5</v>
      </c>
      <c r="AI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165.94679679271215</v>
      </c>
      <c r="AJ6" s="2">
        <f>IFERROR(MainTbl[[#This Row],[O_total]]/MainTbl[[#This Row],[TotalAtoms_all]],0)</f>
        <v>5.9621480500113511E-2</v>
      </c>
      <c r="AK6" s="2">
        <f>IFERROR(MainTbl[[#This Row],[O_from_solvents]]/MainTbl[[#This Row],[TotalAtoms_all]],0)</f>
        <v>5.9621480500113511E-2</v>
      </c>
      <c r="AL6" s="2">
        <f>IFERROR(MainTbl[[#This Row],[O_from_salts]]/MainTbl[[#This Row],[TotalAtoms_all]],0)</f>
        <v>0</v>
      </c>
      <c r="AM6" s="2">
        <f>IFERROR(MainTbl[[#This Row],[C_total]]/MainTbl[[#This Row],[TotalAtoms_all]],0)</f>
        <v>0.23848592200045404</v>
      </c>
      <c r="AN6" s="2">
        <f>IFERROR(MainTbl[[#This Row],[C_from_solvents]]/MainTbl[[#This Row],[TotalAtoms_all]],0)</f>
        <v>0.23848592200045404</v>
      </c>
      <c r="AO6" s="2">
        <f>IFERROR(MainTbl[[#This Row],[C_from_salts]]/MainTbl[[#This Row],[TotalAtoms_all]],0)</f>
        <v>0</v>
      </c>
      <c r="AP6" s="2">
        <f>IFERROR(MainTbl[[#This Row],[F_total]]/MainTbl[[#This Row],[TotalAtoms_all]],0)</f>
        <v>9.0390416024340836E-2</v>
      </c>
      <c r="AQ6" s="2">
        <f>IFERROR(MainTbl[[#This Row],[F_from_solvents]]/MainTbl[[#This Row],[TotalAtoms_all]],0)</f>
        <v>0</v>
      </c>
      <c r="AR6" s="2">
        <f>IFERROR(MainTbl[[#This Row],[F_from_salts]]/MainTbl[[#This Row],[TotalAtoms_all]],0)</f>
        <v>9.0390416024340836E-2</v>
      </c>
      <c r="AS6" s="2">
        <f>IFERROR(MainTbl[[#This Row],[F_total]]/MainTbl[[#This Row],[O_total]],0)</f>
        <v>1.5160713096376186</v>
      </c>
      <c r="AT6" s="2">
        <f>IFERROR(MainTbl[[#This Row],[F_total]]/MainTbl[[#This Row],[C_total]],0)</f>
        <v>0.37901782740940465</v>
      </c>
      <c r="AU6" s="2">
        <f>IFERROR(MainTbl[[#This Row],[O_total]]/MainTbl[[#This Row],[C_total]],0)</f>
        <v>0.25</v>
      </c>
      <c r="AV6" s="2">
        <f>IFERROR((MainTbl[[#This Row],[TotalAtoms_all]]-(MainTbl[[#This Row],[C_total]]+MainTbl[[#This Row],[H_total]]+MainTbl[[#This Row],[Li_total]]))/MainTbl[[#This Row],[C_total]],0)</f>
        <v>0.69218746531097164</v>
      </c>
      <c r="AW6" t="str">
        <f>IFERROR(VLOOKUP(MainTbl[[#This Row],[salt_1_smiles]],SaltTbl[],MATCH("Salt",SaltTbl[#Headers],0),FALSE),"")</f>
        <v>LiAsF6</v>
      </c>
      <c r="AX6" t="str">
        <f>IFERROR(VLOOKUP(MainTbl[[#This Row],[salt_2_smiles]],SaltTbl[],MATCH("Salt",SaltTbl[#Headers],0),FALSE),"")</f>
        <v/>
      </c>
      <c r="AY6" t="str">
        <f>IFERROR(VLOOKUP(MainTbl[[#This Row],[solvent_1_smiles]],SolvTbl[],MATCH("Solvent",SolvTbl[#Headers],0),FALSE),"")</f>
        <v>Diethyl ether (C4H10O1)</v>
      </c>
      <c r="AZ6" t="str">
        <f>IFERROR(VLOOKUP(MainTbl[[#This Row],[solvent_2_smiles]],SolvTbl[],MATCH("Solvent",SolvTbl[#Headers],0),FALSE),"")</f>
        <v>THF (C4H8O)</v>
      </c>
      <c r="BA6" t="str">
        <f>IFERROR(VLOOKUP(MainTbl[[#This Row],[solvent_3_smiles]],SolvTbl[],MATCH("Solvent",SolvTbl[#Headers],0),FALSE),"")</f>
        <v/>
      </c>
      <c r="BB6">
        <f>--(MainTbl[[#This Row],[solv_1_ratio]]&gt;0)+--(MainTbl[[#This Row],[solv_2_ratio]]&gt;0)+--(MainTbl[[#This Row],[solv_3_ratio]]&gt;0)</f>
        <v>2</v>
      </c>
      <c r="BC6" t="str">
        <f>IF(AND(MainTbl[[#This Row],[SaltName1]]&lt;&gt;"",MainTbl[[#This Row],[salt_1_conc]]&gt;0),TEXT(MainTbl[[#This Row],[salt_1_conc]],"0.###")&amp;" M "&amp;MainTbl[[#This Row],[SaltName1]],"")</f>
        <v>2.5 M LiAsF6</v>
      </c>
      <c r="BD6" t="str">
        <f>IF(AND(MainTbl[[#This Row],[SaltName2]]&lt;&gt;"",MainTbl[[#This Row],[salt_2_conc]]&gt;0),TEXT(MainTbl[[#This Row],[salt_2_conc]],"0.###")&amp;" M "&amp;MainTbl[[#This Row],[SaltName2]],"")</f>
        <v/>
      </c>
      <c r="BE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2.5 M LiAsF6</v>
      </c>
      <c r="BF6" t="str">
        <f>IF(MainTbl[[#This Row],[SolvCount]]=1,MainTbl[[#This Row],[SolvName1]],IF(MainTbl[[#This Row],[solv_1_ratio]]&gt;0,MainTbl[[#This Row],[SolvName1]]&amp;" "&amp;TEXT(MainTbl[[#This Row],[solv_1_ratio]]*100,"0.##")&amp;"%",""))</f>
        <v>Diethyl ether (C4H10O1) 90.%</v>
      </c>
      <c r="BG6" t="str">
        <f>IF(MainTbl[[#This Row],[SolvCount]]=1,MainTbl[[#This Row],[SolvName2]],IF(MainTbl[[#This Row],[solv_2_ratio]]&gt;0,MainTbl[[#This Row],[SolvName2]]&amp;" "&amp;TEXT(MainTbl[[#This Row],[solv_2_ratio]]*100,"0.##")&amp;"%",""))</f>
        <v>THF (C4H8O) 10.%</v>
      </c>
      <c r="BH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Diethyl ether (C4H10O1) 90.% + THF (C4H8O) 10.%</v>
      </c>
      <c r="BJ6" t="str">
        <f>TRIM(_xlfn.CONCAT(MainTbl[[#This Row],[Salt_text]]," ",MainTbl[[#This Row],[Solvent_text]]))</f>
        <v>2.5 M LiAsF6 Diethyl ether (C4H10O1) 90.% + THF (C4H8O) 10.%</v>
      </c>
    </row>
    <row r="7" spans="1:63" x14ac:dyDescent="0.25">
      <c r="A7" t="s">
        <v>16</v>
      </c>
      <c r="B7" t="s">
        <v>18</v>
      </c>
      <c r="D7" t="s">
        <v>15</v>
      </c>
      <c r="G7">
        <v>0.5</v>
      </c>
      <c r="H7">
        <v>0.5</v>
      </c>
      <c r="I7">
        <v>0</v>
      </c>
      <c r="J7">
        <v>1.5</v>
      </c>
      <c r="K7">
        <v>0</v>
      </c>
      <c r="L7">
        <v>0.98</v>
      </c>
      <c r="M7">
        <f t="shared" si="0"/>
        <v>98</v>
      </c>
      <c r="N7">
        <f t="shared" si="1"/>
        <v>1.6989700043360185</v>
      </c>
      <c r="O7">
        <f>IFERROR(MainTbl[[#This Row],[solv_1_ratio]]*VLOOKUP(MainTbl[[#This Row],[solvent_1_smiles]],SolvTbl[],13,FALSE),0)</f>
        <v>4.9634273772204809</v>
      </c>
      <c r="P7">
        <f>IFERROR(MainTbl[[#This Row],[solv_2_ratio]]*VLOOKUP(MainTbl[[#This Row],[solvent_2_smiles]],SolvTbl[],13,FALSE),0)</f>
        <v>4.8158011540168655</v>
      </c>
      <c r="Q7">
        <f>IFERROR(MainTbl[[#This Row],[solv_3_ratio]]*VLOOKUP(MainTbl[[#This Row],[solvent_3_smiles]],SolvTbl[],13,FALSE),0)</f>
        <v>0</v>
      </c>
      <c r="R7">
        <f>IFERROR(MainTbl[[#This Row],[salt_1_conc]],0)</f>
        <v>1.5</v>
      </c>
      <c r="S7">
        <f>IFERROR(MainTbl[[#This Row],[salt_2_conc]],0)</f>
        <v>0</v>
      </c>
      <c r="T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14.595029685254211</v>
      </c>
      <c r="U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7">
        <f>MainTbl[[#This Row],[O_from_solvents]]+MainTbl[[#This Row],[O_from_salts]]</f>
        <v>14.595029685254211</v>
      </c>
      <c r="W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44.080341502169865</v>
      </c>
      <c r="X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">
        <f>MainTbl[[#This Row],[C_from_solvents]]+MainTbl[[#This Row],[C_from_salts]]</f>
        <v>44.080341502169865</v>
      </c>
      <c r="Z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9</v>
      </c>
      <c r="AB7">
        <f>MainTbl[[#This Row],[F_from_solvents]]+MainTbl[[#This Row],[F_from_salts]]</f>
        <v>9</v>
      </c>
      <c r="AC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97.792285312373465</v>
      </c>
      <c r="AD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">
        <f>MainTbl[[#This Row],[H_from_solvents]]+MainTbl[[#This Row],[H_from_salts]]</f>
        <v>97.792285312373465</v>
      </c>
      <c r="AF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1.5</v>
      </c>
      <c r="AH7">
        <f>MainTbl[[#This Row],[Li_from_solvents]]+MainTbl[[#This Row],[Li_from_salts]]</f>
        <v>1.5</v>
      </c>
      <c r="AI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168.46765649979756</v>
      </c>
      <c r="AJ7" s="2">
        <f>IFERROR(MainTbl[[#This Row],[O_total]]/MainTbl[[#This Row],[TotalAtoms_all]],0)</f>
        <v>8.6634016217063889E-2</v>
      </c>
      <c r="AK7" s="2">
        <f>IFERROR(MainTbl[[#This Row],[O_from_solvents]]/MainTbl[[#This Row],[TotalAtoms_all]],0)</f>
        <v>8.6634016217063889E-2</v>
      </c>
      <c r="AL7" s="2">
        <f>IFERROR(MainTbl[[#This Row],[O_from_salts]]/MainTbl[[#This Row],[TotalAtoms_all]],0)</f>
        <v>0</v>
      </c>
      <c r="AM7" s="2">
        <f>IFERROR(MainTbl[[#This Row],[C_total]]/MainTbl[[#This Row],[TotalAtoms_all]],0)</f>
        <v>0.26165462509548731</v>
      </c>
      <c r="AN7" s="2">
        <f>IFERROR(MainTbl[[#This Row],[C_from_solvents]]/MainTbl[[#This Row],[TotalAtoms_all]],0)</f>
        <v>0.26165462509548731</v>
      </c>
      <c r="AO7" s="2">
        <f>IFERROR(MainTbl[[#This Row],[C_from_salts]]/MainTbl[[#This Row],[TotalAtoms_all]],0)</f>
        <v>0</v>
      </c>
      <c r="AP7" s="2">
        <f>IFERROR(MainTbl[[#This Row],[F_total]]/MainTbl[[#This Row],[TotalAtoms_all]],0)</f>
        <v>5.342271737489751E-2</v>
      </c>
      <c r="AQ7" s="2">
        <f>IFERROR(MainTbl[[#This Row],[F_from_solvents]]/MainTbl[[#This Row],[TotalAtoms_all]],0)</f>
        <v>0</v>
      </c>
      <c r="AR7" s="2">
        <f>IFERROR(MainTbl[[#This Row],[F_from_salts]]/MainTbl[[#This Row],[TotalAtoms_all]],0)</f>
        <v>5.342271737489751E-2</v>
      </c>
      <c r="AS7" s="2">
        <f>IFERROR(MainTbl[[#This Row],[F_total]]/MainTbl[[#This Row],[O_total]],0)</f>
        <v>0.61664828329146637</v>
      </c>
      <c r="AT7" s="2">
        <f>IFERROR(MainTbl[[#This Row],[F_total]]/MainTbl[[#This Row],[C_total]],0)</f>
        <v>0.20417264688289616</v>
      </c>
      <c r="AU7" s="2">
        <f>IFERROR(MainTbl[[#This Row],[O_total]]/MainTbl[[#This Row],[C_total]],0)</f>
        <v>0.33110064913031056</v>
      </c>
      <c r="AV7" s="2">
        <f>IFERROR((MainTbl[[#This Row],[TotalAtoms_all]]-(MainTbl[[#This Row],[C_total]]+MainTbl[[#This Row],[H_total]]+MainTbl[[#This Row],[Li_total]]))/MainTbl[[#This Row],[C_total]],0)</f>
        <v>0.56930207049368953</v>
      </c>
      <c r="AW7" t="str">
        <f>IFERROR(VLOOKUP(MainTbl[[#This Row],[salt_1_smiles]],SaltTbl[],MATCH("Salt",SaltTbl[#Headers],0),FALSE),"")</f>
        <v>LiAsF6</v>
      </c>
      <c r="AX7" t="str">
        <f>IFERROR(VLOOKUP(MainTbl[[#This Row],[salt_2_smiles]],SaltTbl[],MATCH("Salt",SaltTbl[#Headers],0),FALSE),"")</f>
        <v/>
      </c>
      <c r="AY7" t="str">
        <f>IFERROR(VLOOKUP(MainTbl[[#This Row],[solvent_1_smiles]],SolvTbl[],MATCH("Solvent",SolvTbl[#Headers],0),FALSE),"")</f>
        <v>2-Methyltetrahydrofuran</v>
      </c>
      <c r="AZ7" t="str">
        <f>IFERROR(VLOOKUP(MainTbl[[#This Row],[solvent_2_smiles]],SolvTbl[],MATCH("Solvent",SolvTbl[#Headers],0),FALSE),"")</f>
        <v>DME (C4H10O2)</v>
      </c>
      <c r="BA7" t="str">
        <f>IFERROR(VLOOKUP(MainTbl[[#This Row],[solvent_3_smiles]],SolvTbl[],MATCH("Solvent",SolvTbl[#Headers],0),FALSE),"")</f>
        <v/>
      </c>
      <c r="BB7">
        <f>--(MainTbl[[#This Row],[solv_1_ratio]]&gt;0)+--(MainTbl[[#This Row],[solv_2_ratio]]&gt;0)+--(MainTbl[[#This Row],[solv_3_ratio]]&gt;0)</f>
        <v>2</v>
      </c>
      <c r="BC7" t="str">
        <f>IF(AND(MainTbl[[#This Row],[SaltName1]]&lt;&gt;"",MainTbl[[#This Row],[salt_1_conc]]&gt;0),TEXT(MainTbl[[#This Row],[salt_1_conc]],"0.###")&amp;" M "&amp;MainTbl[[#This Row],[SaltName1]],"")</f>
        <v>1.5 M LiAsF6</v>
      </c>
      <c r="BD7" t="str">
        <f>IF(AND(MainTbl[[#This Row],[SaltName2]]&lt;&gt;"",MainTbl[[#This Row],[salt_2_conc]]&gt;0),TEXT(MainTbl[[#This Row],[salt_2_conc]],"0.###")&amp;" M "&amp;MainTbl[[#This Row],[SaltName2]],"")</f>
        <v/>
      </c>
      <c r="BE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1.5 M LiAsF6</v>
      </c>
      <c r="BF7" t="str">
        <f>IF(MainTbl[[#This Row],[SolvCount]]=1,MainTbl[[#This Row],[SolvName1]],IF(MainTbl[[#This Row],[solv_1_ratio]]&gt;0,MainTbl[[#This Row],[SolvName1]]&amp;" "&amp;TEXT(MainTbl[[#This Row],[solv_1_ratio]]*100,"0.##")&amp;"%",""))</f>
        <v>2-Methyltetrahydrofuran 50.%</v>
      </c>
      <c r="BG7" t="str">
        <f>IF(MainTbl[[#This Row],[SolvCount]]=1,MainTbl[[#This Row],[SolvName2]],IF(MainTbl[[#This Row],[solv_2_ratio]]&gt;0,MainTbl[[#This Row],[SolvName2]]&amp;" "&amp;TEXT(MainTbl[[#This Row],[solv_2_ratio]]*100,"0.##")&amp;"%",""))</f>
        <v>DME (C4H10O2) 50.%</v>
      </c>
      <c r="BH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2-Methyltetrahydrofuran 50.% + DME (C4H10O2) 50.%</v>
      </c>
      <c r="BJ7" t="str">
        <f>TRIM(_xlfn.CONCAT(MainTbl[[#This Row],[Salt_text]]," ",MainTbl[[#This Row],[Solvent_text]]))</f>
        <v>1.5 M LiAsF6 2-Methyltetrahydrofuran 50.% + DME (C4H10O2) 50.%</v>
      </c>
    </row>
    <row r="8" spans="1:63" x14ac:dyDescent="0.25">
      <c r="A8" t="s">
        <v>19</v>
      </c>
      <c r="B8" t="s">
        <v>20</v>
      </c>
      <c r="D8" t="s">
        <v>15</v>
      </c>
      <c r="G8">
        <v>9.9900100000000001E-4</v>
      </c>
      <c r="H8">
        <v>0.99900099899999995</v>
      </c>
      <c r="I8">
        <v>0</v>
      </c>
      <c r="J8">
        <v>1</v>
      </c>
      <c r="K8">
        <v>0</v>
      </c>
      <c r="L8">
        <v>0.98</v>
      </c>
      <c r="M8">
        <f t="shared" si="0"/>
        <v>98</v>
      </c>
      <c r="N8">
        <f t="shared" si="1"/>
        <v>1.6989700043360185</v>
      </c>
      <c r="O8">
        <f>IFERROR(MainTbl[[#This Row],[solv_1_ratio]]*VLOOKUP(MainTbl[[#This Row],[solvent_1_smiles]],SolvTbl[],13,FALSE),0)</f>
        <v>1.4974464808884652E-2</v>
      </c>
      <c r="P8">
        <f>IFERROR(MainTbl[[#This Row],[solv_2_ratio]]*VLOOKUP(MainTbl[[#This Row],[solvent_2_smiles]],SolvTbl[],13,FALSE),0)</f>
        <v>14.294946663516832</v>
      </c>
      <c r="Q8">
        <f>IFERROR(MainTbl[[#This Row],[solv_3_ratio]]*VLOOKUP(MainTbl[[#This Row],[solvent_3_smiles]],SolvTbl[],13,FALSE),0)</f>
        <v>0</v>
      </c>
      <c r="R8">
        <f>IFERROR(MainTbl[[#This Row],[salt_1_conc]],0)</f>
        <v>1</v>
      </c>
      <c r="S8">
        <f>IFERROR(MainTbl[[#This Row],[salt_2_conc]],0)</f>
        <v>0</v>
      </c>
      <c r="T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28.634816721460318</v>
      </c>
      <c r="U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8">
        <f>MainTbl[[#This Row],[O_from_solvents]]+MainTbl[[#This Row],[O_from_salts]]</f>
        <v>28.634816721460318</v>
      </c>
      <c r="W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42.92976338497715</v>
      </c>
      <c r="X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">
        <f>MainTbl[[#This Row],[C_from_solvents]]+MainTbl[[#This Row],[C_from_salts]]</f>
        <v>42.92976338497715</v>
      </c>
      <c r="Z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8">
        <f>MainTbl[[#This Row],[F_from_solvents]]+MainTbl[[#This Row],[F_from_salts]]</f>
        <v>6</v>
      </c>
      <c r="AC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85.829577840336526</v>
      </c>
      <c r="AD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">
        <f>MainTbl[[#This Row],[H_from_solvents]]+MainTbl[[#This Row],[H_from_salts]]</f>
        <v>85.829577840336526</v>
      </c>
      <c r="AF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8">
        <f>MainTbl[[#This Row],[Li_from_solvents]]+MainTbl[[#This Row],[Li_from_salts]]</f>
        <v>1</v>
      </c>
      <c r="AI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165.39415794677399</v>
      </c>
      <c r="AJ8" s="2">
        <f>IFERROR(MainTbl[[#This Row],[O_total]]/MainTbl[[#This Row],[TotalAtoms_all]],0)</f>
        <v>0.17313076276052858</v>
      </c>
      <c r="AK8" s="2">
        <f>IFERROR(MainTbl[[#This Row],[O_from_solvents]]/MainTbl[[#This Row],[TotalAtoms_all]],0)</f>
        <v>0.17313076276052858</v>
      </c>
      <c r="AL8" s="2">
        <f>IFERROR(MainTbl[[#This Row],[O_from_salts]]/MainTbl[[#This Row],[TotalAtoms_all]],0)</f>
        <v>0</v>
      </c>
      <c r="AM8" s="2">
        <f>IFERROR(MainTbl[[#This Row],[C_total]]/MainTbl[[#This Row],[TotalAtoms_all]],0)</f>
        <v>0.25956033706337145</v>
      </c>
      <c r="AN8" s="2">
        <f>IFERROR(MainTbl[[#This Row],[C_from_solvents]]/MainTbl[[#This Row],[TotalAtoms_all]],0)</f>
        <v>0.25956033706337145</v>
      </c>
      <c r="AO8" s="2">
        <f>IFERROR(MainTbl[[#This Row],[C_from_salts]]/MainTbl[[#This Row],[TotalAtoms_all]],0)</f>
        <v>0</v>
      </c>
      <c r="AP8" s="2">
        <f>IFERROR(MainTbl[[#This Row],[F_total]]/MainTbl[[#This Row],[TotalAtoms_all]],0)</f>
        <v>3.62769766144393E-2</v>
      </c>
      <c r="AQ8" s="2">
        <f>IFERROR(MainTbl[[#This Row],[F_from_solvents]]/MainTbl[[#This Row],[TotalAtoms_all]],0)</f>
        <v>0</v>
      </c>
      <c r="AR8" s="2">
        <f>IFERROR(MainTbl[[#This Row],[F_from_salts]]/MainTbl[[#This Row],[TotalAtoms_all]],0)</f>
        <v>3.62769766144393E-2</v>
      </c>
      <c r="AS8" s="2">
        <f>IFERROR(MainTbl[[#This Row],[F_total]]/MainTbl[[#This Row],[O_total]],0)</f>
        <v>0.20953512845442135</v>
      </c>
      <c r="AT8" s="2">
        <f>IFERROR(MainTbl[[#This Row],[F_total]]/MainTbl[[#This Row],[C_total]],0)</f>
        <v>0.13976317423868312</v>
      </c>
      <c r="AU8" s="2">
        <f>IFERROR(MainTbl[[#This Row],[O_total]]/MainTbl[[#This Row],[C_total]],0)</f>
        <v>0.66701547978903586</v>
      </c>
      <c r="AV8" s="2">
        <f>IFERROR((MainTbl[[#This Row],[TotalAtoms_all]]-(MainTbl[[#This Row],[C_total]]+MainTbl[[#This Row],[H_total]]+MainTbl[[#This Row],[Li_total]]))/MainTbl[[#This Row],[C_total]],0)</f>
        <v>0.83007251640083268</v>
      </c>
      <c r="AW8" t="str">
        <f>IFERROR(VLOOKUP(MainTbl[[#This Row],[salt_1_smiles]],SaltTbl[],MATCH("Salt",SaltTbl[#Headers],0),FALSE),"")</f>
        <v>LiAsF6</v>
      </c>
      <c r="AX8" t="str">
        <f>IFERROR(VLOOKUP(MainTbl[[#This Row],[salt_2_smiles]],SaltTbl[],MATCH("Salt",SaltTbl[#Headers],0),FALSE),"")</f>
        <v/>
      </c>
      <c r="AY8" t="str">
        <f>IFERROR(VLOOKUP(MainTbl[[#This Row],[solvent_1_smiles]],SolvTbl[],MATCH("Solvent",SolvTbl[#Headers],0),FALSE),"")</f>
        <v>Ethylene carbonate</v>
      </c>
      <c r="AZ8" t="str">
        <f>IFERROR(VLOOKUP(MainTbl[[#This Row],[solvent_2_smiles]],SolvTbl[],MATCH("Solvent",SolvTbl[#Headers],0),FALSE),"")</f>
        <v>1,3-dioxolane (	C3H6O2)</v>
      </c>
      <c r="BA8" t="str">
        <f>IFERROR(VLOOKUP(MainTbl[[#This Row],[solvent_3_smiles]],SolvTbl[],MATCH("Solvent",SolvTbl[#Headers],0),FALSE),"")</f>
        <v/>
      </c>
      <c r="BB8">
        <f>--(MainTbl[[#This Row],[solv_1_ratio]]&gt;0)+--(MainTbl[[#This Row],[solv_2_ratio]]&gt;0)+--(MainTbl[[#This Row],[solv_3_ratio]]&gt;0)</f>
        <v>2</v>
      </c>
      <c r="BC8" t="str">
        <f>IF(AND(MainTbl[[#This Row],[SaltName1]]&lt;&gt;"",MainTbl[[#This Row],[salt_1_conc]]&gt;0),TEXT(MainTbl[[#This Row],[salt_1_conc]],"0.###")&amp;" M "&amp;MainTbl[[#This Row],[SaltName1]],"")</f>
        <v>1. M LiAsF6</v>
      </c>
      <c r="BD8" t="str">
        <f>IF(AND(MainTbl[[#This Row],[SaltName2]]&lt;&gt;"",MainTbl[[#This Row],[salt_2_conc]]&gt;0),TEXT(MainTbl[[#This Row],[salt_2_conc]],"0.###")&amp;" M "&amp;MainTbl[[#This Row],[SaltName2]],"")</f>
        <v/>
      </c>
      <c r="BE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LiAsF6</v>
      </c>
      <c r="BF8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0.1%</v>
      </c>
      <c r="BG8" t="str">
        <f>IF(MainTbl[[#This Row],[SolvCount]]=1,MainTbl[[#This Row],[SolvName2]],IF(MainTbl[[#This Row],[solv_2_ratio]]&gt;0,MainTbl[[#This Row],[SolvName2]]&amp;" "&amp;TEXT(MainTbl[[#This Row],[solv_2_ratio]]*100,"0.##")&amp;"%",""))</f>
        <v>1,3-dioxolane (	C3H6O2) 99.9%</v>
      </c>
      <c r="BH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0.1% + 1,3-dioxolane (	C3H6O2) 99.9%</v>
      </c>
      <c r="BJ8" t="str">
        <f>TRIM(_xlfn.CONCAT(MainTbl[[#This Row],[Salt_text]]," ",MainTbl[[#This Row],[Solvent_text]]))</f>
        <v>1. M LiAsF6 Ethylene carbonate 0.1% + 1,3-dioxolane (	C3H6O2) 99.9%</v>
      </c>
    </row>
    <row r="9" spans="1:63" x14ac:dyDescent="0.25">
      <c r="A9" t="s">
        <v>20</v>
      </c>
      <c r="B9" t="s">
        <v>21</v>
      </c>
      <c r="D9" t="s">
        <v>22</v>
      </c>
      <c r="E9" t="s">
        <v>23</v>
      </c>
      <c r="G9">
        <v>0.66666666699999999</v>
      </c>
      <c r="H9">
        <v>0.33333333300000001</v>
      </c>
      <c r="I9">
        <v>0</v>
      </c>
      <c r="J9">
        <v>0.5</v>
      </c>
      <c r="K9">
        <v>0.5</v>
      </c>
      <c r="L9">
        <v>0.99</v>
      </c>
      <c r="M9">
        <f t="shared" si="0"/>
        <v>99</v>
      </c>
      <c r="N9">
        <f t="shared" si="1"/>
        <v>1.9999999999999996</v>
      </c>
      <c r="O9">
        <f>IFERROR(MainTbl[[#This Row],[solv_1_ratio]]*VLOOKUP(MainTbl[[#This Row],[solvent_1_smiles]],SolvTbl[],13,FALSE),0)</f>
        <v>9.5394944115661868</v>
      </c>
      <c r="P9">
        <f>IFERROR(MainTbl[[#This Row],[solv_2_ratio]]*VLOOKUP(MainTbl[[#This Row],[solvent_2_smiles]],SolvTbl[],13,FALSE),0)</f>
        <v>3.7672703022577343</v>
      </c>
      <c r="Q9">
        <f>IFERROR(MainTbl[[#This Row],[solv_3_ratio]]*VLOOKUP(MainTbl[[#This Row],[solvent_3_smiles]],SolvTbl[],13,FALSE),0)</f>
        <v>0</v>
      </c>
      <c r="R9">
        <f>IFERROR(MainTbl[[#This Row],[salt_1_conc]],0)</f>
        <v>0.5</v>
      </c>
      <c r="S9">
        <f>IFERROR(MainTbl[[#This Row],[salt_2_conc]],0)</f>
        <v>0.5</v>
      </c>
      <c r="T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26.61352942764784</v>
      </c>
      <c r="U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9">
        <f>MainTbl[[#This Row],[O_from_solvents]]+MainTbl[[#This Row],[O_from_salts]]</f>
        <v>30.61352942764784</v>
      </c>
      <c r="W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39.920294141471757</v>
      </c>
      <c r="X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1</v>
      </c>
      <c r="Y9">
        <f>MainTbl[[#This Row],[C_from_solvents]]+MainTbl[[#This Row],[C_from_salts]]</f>
        <v>40.920294141471757</v>
      </c>
      <c r="Z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4</v>
      </c>
      <c r="AB9">
        <f>MainTbl[[#This Row],[F_from_solvents]]+MainTbl[[#This Row],[F_from_salts]]</f>
        <v>4</v>
      </c>
      <c r="AC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87.375128887458999</v>
      </c>
      <c r="AD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">
        <f>MainTbl[[#This Row],[H_from_solvents]]+MainTbl[[#This Row],[H_from_salts]]</f>
        <v>87.375128887458999</v>
      </c>
      <c r="AF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9">
        <f>MainTbl[[#This Row],[Li_from_solvents]]+MainTbl[[#This Row],[Li_from_salts]]</f>
        <v>1</v>
      </c>
      <c r="AI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166.90895245657859</v>
      </c>
      <c r="AJ9" s="2">
        <f>IFERROR(MainTbl[[#This Row],[O_total]]/MainTbl[[#This Row],[TotalAtoms_all]],0)</f>
        <v>0.18341454413963779</v>
      </c>
      <c r="AK9" s="2">
        <f>IFERROR(MainTbl[[#This Row],[O_from_solvents]]/MainTbl[[#This Row],[TotalAtoms_all]],0)</f>
        <v>0.15944938264813183</v>
      </c>
      <c r="AL9" s="2">
        <f>IFERROR(MainTbl[[#This Row],[O_from_salts]]/MainTbl[[#This Row],[TotalAtoms_all]],0)</f>
        <v>2.396516149150598E-2</v>
      </c>
      <c r="AM9" s="2">
        <f>IFERROR(MainTbl[[#This Row],[C_total]]/MainTbl[[#This Row],[TotalAtoms_all]],0)</f>
        <v>0.24516536434507419</v>
      </c>
      <c r="AN9" s="2">
        <f>IFERROR(MainTbl[[#This Row],[C_from_solvents]]/MainTbl[[#This Row],[TotalAtoms_all]],0)</f>
        <v>0.2391740739721977</v>
      </c>
      <c r="AO9" s="2">
        <f>IFERROR(MainTbl[[#This Row],[C_from_salts]]/MainTbl[[#This Row],[TotalAtoms_all]],0)</f>
        <v>5.9912903728764951E-3</v>
      </c>
      <c r="AP9" s="2">
        <f>IFERROR(MainTbl[[#This Row],[F_total]]/MainTbl[[#This Row],[TotalAtoms_all]],0)</f>
        <v>2.396516149150598E-2</v>
      </c>
      <c r="AQ9" s="2">
        <f>IFERROR(MainTbl[[#This Row],[F_from_solvents]]/MainTbl[[#This Row],[TotalAtoms_all]],0)</f>
        <v>0</v>
      </c>
      <c r="AR9" s="2">
        <f>IFERROR(MainTbl[[#This Row],[F_from_salts]]/MainTbl[[#This Row],[TotalAtoms_all]],0)</f>
        <v>2.396516149150598E-2</v>
      </c>
      <c r="AS9" s="2">
        <f>IFERROR(MainTbl[[#This Row],[F_total]]/MainTbl[[#This Row],[O_total]],0)</f>
        <v>0.13066118395311521</v>
      </c>
      <c r="AT9" s="2">
        <f>IFERROR(MainTbl[[#This Row],[F_total]]/MainTbl[[#This Row],[C_total]],0)</f>
        <v>9.7751008000357797E-2</v>
      </c>
      <c r="AU9" s="2">
        <f>IFERROR(MainTbl[[#This Row],[O_total]]/MainTbl[[#This Row],[C_total]],0)</f>
        <v>0.74812584000029825</v>
      </c>
      <c r="AV9" s="2">
        <f>IFERROR((MainTbl[[#This Row],[TotalAtoms_all]]-(MainTbl[[#This Row],[C_total]]+MainTbl[[#This Row],[H_total]]+MainTbl[[#This Row],[Li_total]]))/MainTbl[[#This Row],[C_total]],0)</f>
        <v>0.91919010400092382</v>
      </c>
      <c r="AW9" t="str">
        <f>IFERROR(VLOOKUP(MainTbl[[#This Row],[salt_1_smiles]],SaltTbl[],MATCH("Salt",SaltTbl[#Headers],0),FALSE),"")</f>
        <v>LiFSI</v>
      </c>
      <c r="AX9" t="str">
        <f>IFERROR(VLOOKUP(MainTbl[[#This Row],[salt_2_smiles]],SaltTbl[],MATCH("Salt",SaltTbl[#Headers],0),FALSE),"")</f>
        <v>LiTFSI</v>
      </c>
      <c r="AY9" t="str">
        <f>IFERROR(VLOOKUP(MainTbl[[#This Row],[solvent_1_smiles]],SolvTbl[],MATCH("Solvent",SolvTbl[#Headers],0),FALSE),"")</f>
        <v>1,3-dioxolane (	C3H6O2)</v>
      </c>
      <c r="AZ9" t="str">
        <f>IFERROR(VLOOKUP(MainTbl[[#This Row],[solvent_2_smiles]],SolvTbl[],MATCH("Solvent",SolvTbl[#Headers],0),FALSE),"")</f>
        <v>Dimethoxymethane</v>
      </c>
      <c r="BA9" t="str">
        <f>IFERROR(VLOOKUP(MainTbl[[#This Row],[solvent_3_smiles]],SolvTbl[],MATCH("Solvent",SolvTbl[#Headers],0),FALSE),"")</f>
        <v/>
      </c>
      <c r="BB9">
        <f>--(MainTbl[[#This Row],[solv_1_ratio]]&gt;0)+--(MainTbl[[#This Row],[solv_2_ratio]]&gt;0)+--(MainTbl[[#This Row],[solv_3_ratio]]&gt;0)</f>
        <v>2</v>
      </c>
      <c r="BC9" t="str">
        <f>IF(AND(MainTbl[[#This Row],[SaltName1]]&lt;&gt;"",MainTbl[[#This Row],[salt_1_conc]]&gt;0),TEXT(MainTbl[[#This Row],[salt_1_conc]],"0.###")&amp;" M "&amp;MainTbl[[#This Row],[SaltName1]],"")</f>
        <v>0.5 M LiFSI</v>
      </c>
      <c r="BD9" t="str">
        <f>IF(AND(MainTbl[[#This Row],[SaltName2]]&lt;&gt;"",MainTbl[[#This Row],[salt_2_conc]]&gt;0),TEXT(MainTbl[[#This Row],[salt_2_conc]],"0.###")&amp;" M "&amp;MainTbl[[#This Row],[SaltName2]],"")</f>
        <v>0.5 M LiTFSI</v>
      </c>
      <c r="BE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0.5 M LiFSI + 0.5 M LiTFSI</v>
      </c>
      <c r="BF9" t="str">
        <f>IF(MainTbl[[#This Row],[SolvCount]]=1,MainTbl[[#This Row],[SolvName1]],IF(MainTbl[[#This Row],[solv_1_ratio]]&gt;0,MainTbl[[#This Row],[SolvName1]]&amp;" "&amp;TEXT(MainTbl[[#This Row],[solv_1_ratio]]*100,"0.##")&amp;"%",""))</f>
        <v>1,3-dioxolane (	C3H6O2) 66.67%</v>
      </c>
      <c r="BG9" t="str">
        <f>IF(MainTbl[[#This Row],[SolvCount]]=1,MainTbl[[#This Row],[SolvName2]],IF(MainTbl[[#This Row],[solv_2_ratio]]&gt;0,MainTbl[[#This Row],[SolvName2]]&amp;" "&amp;TEXT(MainTbl[[#This Row],[solv_2_ratio]]*100,"0.##")&amp;"%",""))</f>
        <v>Dimethoxymethane 33.33%</v>
      </c>
      <c r="BH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1,3-dioxolane (	C3H6O2) 66.67% + Dimethoxymethane 33.33%</v>
      </c>
      <c r="BJ9" t="str">
        <f>TRIM(_xlfn.CONCAT(MainTbl[[#This Row],[Salt_text]]," ",MainTbl[[#This Row],[Solvent_text]]))</f>
        <v>0.5 M LiFSI + 0.5 M LiTFSI 1,3-dioxolane (	C3H6O2) 66.67% + Dimethoxymethane 33.33%</v>
      </c>
    </row>
    <row r="10" spans="1:63" x14ac:dyDescent="0.25">
      <c r="A10" t="s">
        <v>18</v>
      </c>
      <c r="D10" t="s">
        <v>22</v>
      </c>
      <c r="G10">
        <v>1</v>
      </c>
      <c r="H10">
        <v>0</v>
      </c>
      <c r="I10">
        <v>0</v>
      </c>
      <c r="J10">
        <v>4</v>
      </c>
      <c r="K10">
        <v>0</v>
      </c>
      <c r="L10">
        <v>0.99099999999999999</v>
      </c>
      <c r="M10">
        <f t="shared" si="0"/>
        <v>99.1</v>
      </c>
      <c r="N10">
        <f t="shared" si="1"/>
        <v>2.0457574905606748</v>
      </c>
      <c r="O10">
        <f>IFERROR(MainTbl[[#This Row],[solv_1_ratio]]*VLOOKUP(MainTbl[[#This Row],[solvent_1_smiles]],SolvTbl[],13,FALSE),0)</f>
        <v>9.631602308033731</v>
      </c>
      <c r="P10">
        <f>IFERROR(MainTbl[[#This Row],[solv_2_ratio]]*VLOOKUP(MainTbl[[#This Row],[solvent_2_smiles]],SolvTbl[],13,FALSE),0)</f>
        <v>0</v>
      </c>
      <c r="Q10">
        <f>IFERROR(MainTbl[[#This Row],[solv_3_ratio]]*VLOOKUP(MainTbl[[#This Row],[solvent_3_smiles]],SolvTbl[],13,FALSE),0)</f>
        <v>0</v>
      </c>
      <c r="R10">
        <f>IFERROR(MainTbl[[#This Row],[salt_1_conc]],0)</f>
        <v>4</v>
      </c>
      <c r="S10">
        <f>IFERROR(MainTbl[[#This Row],[salt_2_conc]],0)</f>
        <v>0</v>
      </c>
      <c r="T1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1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16</v>
      </c>
      <c r="V10">
        <f>MainTbl[[#This Row],[O_from_solvents]]+MainTbl[[#This Row],[O_from_salts]]</f>
        <v>35.263204616067462</v>
      </c>
      <c r="W1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1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">
        <f>MainTbl[[#This Row],[C_from_solvents]]+MainTbl[[#This Row],[C_from_salts]]</f>
        <v>38.526409232134924</v>
      </c>
      <c r="Z1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8</v>
      </c>
      <c r="AB10">
        <f>MainTbl[[#This Row],[F_from_solvents]]+MainTbl[[#This Row],[F_from_salts]]</f>
        <v>8</v>
      </c>
      <c r="AC1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1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">
        <f>MainTbl[[#This Row],[H_from_solvents]]+MainTbl[[#This Row],[H_from_salts]]</f>
        <v>96.316023080337317</v>
      </c>
      <c r="AF1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4</v>
      </c>
      <c r="AH10">
        <f>MainTbl[[#This Row],[Li_from_solvents]]+MainTbl[[#This Row],[Li_from_salts]]</f>
        <v>4</v>
      </c>
      <c r="AI1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194.1056369285397</v>
      </c>
      <c r="AJ10" s="2">
        <f>IFERROR(MainTbl[[#This Row],[O_total]]/MainTbl[[#This Row],[TotalAtoms_all]],0)</f>
        <v>0.18167017287112414</v>
      </c>
      <c r="AK10" s="2">
        <f>IFERROR(MainTbl[[#This Row],[O_from_solvents]]/MainTbl[[#This Row],[TotalAtoms_all]],0)</f>
        <v>9.9240830513125391E-2</v>
      </c>
      <c r="AL10" s="2">
        <f>IFERROR(MainTbl[[#This Row],[O_from_salts]]/MainTbl[[#This Row],[TotalAtoms_all]],0)</f>
        <v>8.2429342357998731E-2</v>
      </c>
      <c r="AM10" s="2">
        <f>IFERROR(MainTbl[[#This Row],[C_total]]/MainTbl[[#This Row],[TotalAtoms_all]],0)</f>
        <v>0.19848166102625078</v>
      </c>
      <c r="AN10" s="2">
        <f>IFERROR(MainTbl[[#This Row],[C_from_solvents]]/MainTbl[[#This Row],[TotalAtoms_all]],0)</f>
        <v>0.19848166102625078</v>
      </c>
      <c r="AO10" s="2">
        <f>IFERROR(MainTbl[[#This Row],[C_from_salts]]/MainTbl[[#This Row],[TotalAtoms_all]],0)</f>
        <v>0</v>
      </c>
      <c r="AP10" s="2">
        <f>IFERROR(MainTbl[[#This Row],[F_total]]/MainTbl[[#This Row],[TotalAtoms_all]],0)</f>
        <v>4.1214671178999365E-2</v>
      </c>
      <c r="AQ10" s="2">
        <f>IFERROR(MainTbl[[#This Row],[F_from_solvents]]/MainTbl[[#This Row],[TotalAtoms_all]],0)</f>
        <v>0</v>
      </c>
      <c r="AR10" s="2">
        <f>IFERROR(MainTbl[[#This Row],[F_from_salts]]/MainTbl[[#This Row],[TotalAtoms_all]],0)</f>
        <v>4.1214671178999365E-2</v>
      </c>
      <c r="AS10" s="2">
        <f>IFERROR(MainTbl[[#This Row],[F_total]]/MainTbl[[#This Row],[O_total]],0)</f>
        <v>0.22686537106031621</v>
      </c>
      <c r="AT10" s="2">
        <f>IFERROR(MainTbl[[#This Row],[F_total]]/MainTbl[[#This Row],[C_total]],0)</f>
        <v>0.2076497695852535</v>
      </c>
      <c r="AU10" s="2">
        <f>IFERROR(MainTbl[[#This Row],[O_total]]/MainTbl[[#This Row],[C_total]],0)</f>
        <v>0.91529953917050699</v>
      </c>
      <c r="AV10" s="2">
        <f>IFERROR((MainTbl[[#This Row],[TotalAtoms_all]]-(MainTbl[[#This Row],[C_total]]+MainTbl[[#This Row],[H_total]]+MainTbl[[#This Row],[Li_total]]))/MainTbl[[#This Row],[C_total]],0)</f>
        <v>1.4344239631336408</v>
      </c>
      <c r="AW10" t="str">
        <f>IFERROR(VLOOKUP(MainTbl[[#This Row],[salt_1_smiles]],SaltTbl[],MATCH("Salt",SaltTbl[#Headers],0),FALSE),"")</f>
        <v>LiFSI</v>
      </c>
      <c r="AX10" t="str">
        <f>IFERROR(VLOOKUP(MainTbl[[#This Row],[salt_2_smiles]],SaltTbl[],MATCH("Salt",SaltTbl[#Headers],0),FALSE),"")</f>
        <v/>
      </c>
      <c r="AY10" t="str">
        <f>IFERROR(VLOOKUP(MainTbl[[#This Row],[solvent_1_smiles]],SolvTbl[],MATCH("Solvent",SolvTbl[#Headers],0),FALSE),"")</f>
        <v>DME (C4H10O2)</v>
      </c>
      <c r="AZ10" t="str">
        <f>IFERROR(VLOOKUP(MainTbl[[#This Row],[solvent_2_smiles]],SolvTbl[],MATCH("Solvent",SolvTbl[#Headers],0),FALSE),"")</f>
        <v/>
      </c>
      <c r="BA10" t="str">
        <f>IFERROR(VLOOKUP(MainTbl[[#This Row],[solvent_3_smiles]],SolvTbl[],MATCH("Solvent",SolvTbl[#Headers],0),FALSE),"")</f>
        <v/>
      </c>
      <c r="BB10">
        <f>--(MainTbl[[#This Row],[solv_1_ratio]]&gt;0)+--(MainTbl[[#This Row],[solv_2_ratio]]&gt;0)+--(MainTbl[[#This Row],[solv_3_ratio]]&gt;0)</f>
        <v>1</v>
      </c>
      <c r="BC10" t="str">
        <f>IF(AND(MainTbl[[#This Row],[SaltName1]]&lt;&gt;"",MainTbl[[#This Row],[salt_1_conc]]&gt;0),TEXT(MainTbl[[#This Row],[salt_1_conc]],"0.###")&amp;" M "&amp;MainTbl[[#This Row],[SaltName1]],"")</f>
        <v>4. M LiFSI</v>
      </c>
      <c r="BD10" t="str">
        <f>IF(AND(MainTbl[[#This Row],[SaltName2]]&lt;&gt;"",MainTbl[[#This Row],[salt_2_conc]]&gt;0),TEXT(MainTbl[[#This Row],[salt_2_conc]],"0.###")&amp;" M "&amp;MainTbl[[#This Row],[SaltName2]],"")</f>
        <v/>
      </c>
      <c r="BE1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4. M LiFSI</v>
      </c>
      <c r="BF10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10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10" t="str">
        <f>TRIM(_xlfn.CONCAT(MainTbl[[#This Row],[Salt_text]]," ",MainTbl[[#This Row],[Solvent_text]]))</f>
        <v>4. M LiFSI DME (C4H10O2)</v>
      </c>
    </row>
    <row r="11" spans="1:63" x14ac:dyDescent="0.25">
      <c r="A11" t="s">
        <v>24</v>
      </c>
      <c r="D11" t="s">
        <v>22</v>
      </c>
      <c r="G11">
        <v>1</v>
      </c>
      <c r="H11">
        <v>0</v>
      </c>
      <c r="I11">
        <v>0</v>
      </c>
      <c r="J11">
        <v>7</v>
      </c>
      <c r="K11">
        <v>0</v>
      </c>
      <c r="L11">
        <v>0.996</v>
      </c>
      <c r="M11">
        <f t="shared" si="0"/>
        <v>99.6</v>
      </c>
      <c r="N11">
        <f t="shared" si="1"/>
        <v>2.397940008672037</v>
      </c>
      <c r="O11">
        <f>IFERROR(MainTbl[[#This Row],[solv_1_ratio]]*VLOOKUP(MainTbl[[#This Row],[solvent_1_smiles]],SolvTbl[],13,FALSE),0)</f>
        <v>13.709996794086031</v>
      </c>
      <c r="P11">
        <f>IFERROR(MainTbl[[#This Row],[solv_2_ratio]]*VLOOKUP(MainTbl[[#This Row],[solvent_2_smiles]],SolvTbl[],13,FALSE),0)</f>
        <v>0</v>
      </c>
      <c r="Q11">
        <f>IFERROR(MainTbl[[#This Row],[solv_3_ratio]]*VLOOKUP(MainTbl[[#This Row],[solvent_3_smiles]],SolvTbl[],13,FALSE),0)</f>
        <v>0</v>
      </c>
      <c r="R11">
        <f>IFERROR(MainTbl[[#This Row],[salt_1_conc]],0)</f>
        <v>7</v>
      </c>
      <c r="S11">
        <f>IFERROR(MainTbl[[#This Row],[salt_2_conc]],0)</f>
        <v>0</v>
      </c>
      <c r="T1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41.129990382258093</v>
      </c>
      <c r="U1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28</v>
      </c>
      <c r="V11">
        <f>MainTbl[[#This Row],[O_from_solvents]]+MainTbl[[#This Row],[O_from_salts]]</f>
        <v>69.129990382258086</v>
      </c>
      <c r="W1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41.129990382258093</v>
      </c>
      <c r="X1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">
        <f>MainTbl[[#This Row],[C_from_solvents]]+MainTbl[[#This Row],[C_from_salts]]</f>
        <v>41.129990382258093</v>
      </c>
      <c r="Z1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13.709996794086031</v>
      </c>
      <c r="AA1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14</v>
      </c>
      <c r="AB11">
        <f>MainTbl[[#This Row],[F_from_solvents]]+MainTbl[[#This Row],[F_from_salts]]</f>
        <v>27.709996794086031</v>
      </c>
      <c r="AC1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41.129990382258093</v>
      </c>
      <c r="AD1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">
        <f>MainTbl[[#This Row],[H_from_solvents]]+MainTbl[[#This Row],[H_from_salts]]</f>
        <v>41.129990382258093</v>
      </c>
      <c r="AF1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7</v>
      </c>
      <c r="AH11">
        <f>MainTbl[[#This Row],[Li_from_solvents]]+MainTbl[[#This Row],[Li_from_salts]]</f>
        <v>7</v>
      </c>
      <c r="AI1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207.09996794086032</v>
      </c>
      <c r="AJ11" s="2">
        <f>IFERROR(MainTbl[[#This Row],[O_total]]/MainTbl[[#This Row],[TotalAtoms_all]],0)</f>
        <v>0.33380010180396996</v>
      </c>
      <c r="AK11" s="2">
        <f>IFERROR(MainTbl[[#This Row],[O_from_solvents]]/MainTbl[[#This Row],[TotalAtoms_all]],0)</f>
        <v>0.19859969458809001</v>
      </c>
      <c r="AL11" s="2">
        <f>IFERROR(MainTbl[[#This Row],[O_from_salts]]/MainTbl[[#This Row],[TotalAtoms_all]],0)</f>
        <v>0.13520040721587995</v>
      </c>
      <c r="AM11" s="2">
        <f>IFERROR(MainTbl[[#This Row],[C_total]]/MainTbl[[#This Row],[TotalAtoms_all]],0)</f>
        <v>0.19859969458809001</v>
      </c>
      <c r="AN11" s="2">
        <f>IFERROR(MainTbl[[#This Row],[C_from_solvents]]/MainTbl[[#This Row],[TotalAtoms_all]],0)</f>
        <v>0.19859969458809001</v>
      </c>
      <c r="AO11" s="2">
        <f>IFERROR(MainTbl[[#This Row],[C_from_salts]]/MainTbl[[#This Row],[TotalAtoms_all]],0)</f>
        <v>0</v>
      </c>
      <c r="AP11" s="2">
        <f>IFERROR(MainTbl[[#This Row],[F_total]]/MainTbl[[#This Row],[TotalAtoms_all]],0)</f>
        <v>0.13380010180396998</v>
      </c>
      <c r="AQ11" s="2">
        <f>IFERROR(MainTbl[[#This Row],[F_from_solvents]]/MainTbl[[#This Row],[TotalAtoms_all]],0)</f>
        <v>6.6199898196030005E-2</v>
      </c>
      <c r="AR11" s="2">
        <f>IFERROR(MainTbl[[#This Row],[F_from_salts]]/MainTbl[[#This Row],[TotalAtoms_all]],0)</f>
        <v>6.7600203607939974E-2</v>
      </c>
      <c r="AS11" s="2">
        <f>IFERROR(MainTbl[[#This Row],[F_total]]/MainTbl[[#This Row],[O_total]],0)</f>
        <v>0.40083900837917202</v>
      </c>
      <c r="AT11" s="2">
        <f>IFERROR(MainTbl[[#This Row],[F_total]]/MainTbl[[#This Row],[C_total]],0)</f>
        <v>0.67371756075194866</v>
      </c>
      <c r="AU11" s="2">
        <f>IFERROR(MainTbl[[#This Row],[O_total]]/MainTbl[[#This Row],[C_total]],0)</f>
        <v>1.6807684548372306</v>
      </c>
      <c r="AV11" s="2">
        <f>IFERROR((MainTbl[[#This Row],[TotalAtoms_all]]-(MainTbl[[#This Row],[C_total]]+MainTbl[[#This Row],[H_total]]+MainTbl[[#This Row],[Li_total]]))/MainTbl[[#This Row],[C_total]],0)</f>
        <v>2.8650623567171025</v>
      </c>
      <c r="AW11" t="str">
        <f>IFERROR(VLOOKUP(MainTbl[[#This Row],[salt_1_smiles]],SaltTbl[],MATCH("Salt",SaltTbl[#Headers],0),FALSE),"")</f>
        <v>LiFSI</v>
      </c>
      <c r="AX11" t="str">
        <f>IFERROR(VLOOKUP(MainTbl[[#This Row],[salt_2_smiles]],SaltTbl[],MATCH("Salt",SaltTbl[#Headers],0),FALSE),"")</f>
        <v/>
      </c>
      <c r="AY11" t="str">
        <f>IFERROR(VLOOKUP(MainTbl[[#This Row],[solvent_1_smiles]],SolvTbl[],MATCH("Solvent",SolvTbl[#Headers],0),FALSE),"")</f>
        <v>Fluoroethylene carbonate</v>
      </c>
      <c r="AZ11" t="str">
        <f>IFERROR(VLOOKUP(MainTbl[[#This Row],[solvent_2_smiles]],SolvTbl[],MATCH("Solvent",SolvTbl[#Headers],0),FALSE),"")</f>
        <v/>
      </c>
      <c r="BA11" t="str">
        <f>IFERROR(VLOOKUP(MainTbl[[#This Row],[solvent_3_smiles]],SolvTbl[],MATCH("Solvent",SolvTbl[#Headers],0),FALSE),"")</f>
        <v/>
      </c>
      <c r="BB11">
        <f>--(MainTbl[[#This Row],[solv_1_ratio]]&gt;0)+--(MainTbl[[#This Row],[solv_2_ratio]]&gt;0)+--(MainTbl[[#This Row],[solv_3_ratio]]&gt;0)</f>
        <v>1</v>
      </c>
      <c r="BC11" t="str">
        <f>IF(AND(MainTbl[[#This Row],[SaltName1]]&lt;&gt;"",MainTbl[[#This Row],[salt_1_conc]]&gt;0),TEXT(MainTbl[[#This Row],[salt_1_conc]],"0.###")&amp;" M "&amp;MainTbl[[#This Row],[SaltName1]],"")</f>
        <v>7. M LiFSI</v>
      </c>
      <c r="BD11" t="str">
        <f>IF(AND(MainTbl[[#This Row],[SaltName2]]&lt;&gt;"",MainTbl[[#This Row],[salt_2_conc]]&gt;0),TEXT(MainTbl[[#This Row],[salt_2_conc]],"0.###")&amp;" M "&amp;MainTbl[[#This Row],[SaltName2]],"")</f>
        <v/>
      </c>
      <c r="BE1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7. M LiFSI</v>
      </c>
      <c r="BF11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</v>
      </c>
      <c r="BG11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</v>
      </c>
      <c r="BJ11" t="str">
        <f>TRIM(_xlfn.CONCAT(MainTbl[[#This Row],[Salt_text]]," ",MainTbl[[#This Row],[Solvent_text]]))</f>
        <v>7. M LiFSI Fluoroethylene carbonate</v>
      </c>
    </row>
    <row r="12" spans="1:63" x14ac:dyDescent="0.25">
      <c r="A12" t="s">
        <v>14</v>
      </c>
      <c r="B12" t="s">
        <v>25</v>
      </c>
      <c r="C12" t="s">
        <v>26</v>
      </c>
      <c r="D12" t="s">
        <v>23</v>
      </c>
      <c r="G12">
        <v>2.4390243999999998E-2</v>
      </c>
      <c r="H12">
        <v>0.92682926799999998</v>
      </c>
      <c r="I12">
        <v>4.8780487999999997E-2</v>
      </c>
      <c r="J12">
        <v>0.3</v>
      </c>
      <c r="K12">
        <v>0</v>
      </c>
      <c r="L12">
        <v>0.999</v>
      </c>
      <c r="M12">
        <f t="shared" si="0"/>
        <v>99.9</v>
      </c>
      <c r="N12">
        <f t="shared" si="1"/>
        <v>2.9999999999999996</v>
      </c>
      <c r="O12">
        <f>IFERROR(MainTbl[[#This Row],[solv_1_ratio]]*VLOOKUP(MainTbl[[#This Row],[solvent_1_smiles]],SolvTbl[],13,FALSE),0)</f>
        <v>0.30037912837013203</v>
      </c>
      <c r="P12">
        <f>IFERROR(MainTbl[[#This Row],[solv_2_ratio]]*VLOOKUP(MainTbl[[#This Row],[solvent_2_smiles]],SolvTbl[],13,FALSE),0)</f>
        <v>19.062716330728094</v>
      </c>
      <c r="Q12">
        <f>IFERROR(MainTbl[[#This Row],[solv_3_ratio]]*VLOOKUP(MainTbl[[#This Row],[solvent_3_smiles]],SolvTbl[],13,FALSE),0)</f>
        <v>1.0285910671211089</v>
      </c>
      <c r="R12">
        <f>IFERROR(MainTbl[[#This Row],[salt_1_conc]],0)</f>
        <v>0.3</v>
      </c>
      <c r="S12">
        <f>IFERROR(MainTbl[[#This Row],[salt_2_conc]],0)</f>
        <v>0</v>
      </c>
      <c r="T1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2.3575612626123501</v>
      </c>
      <c r="U1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1.2</v>
      </c>
      <c r="V12">
        <f>MainTbl[[#This Row],[O_from_solvents]]+MainTbl[[#This Row],[O_from_salts]]</f>
        <v>3.5575612626123503</v>
      </c>
      <c r="W1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21.29282391132973</v>
      </c>
      <c r="X1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0.6</v>
      </c>
      <c r="Y12">
        <f>MainTbl[[#This Row],[C_from_solvents]]+MainTbl[[#This Row],[C_from_salts]]</f>
        <v>21.892823911329732</v>
      </c>
      <c r="Z1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19.062716330728094</v>
      </c>
      <c r="AA1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1.7999999999999998</v>
      </c>
      <c r="AB12">
        <f>MainTbl[[#This Row],[F_from_solvents]]+MainTbl[[#This Row],[F_from_salts]]</f>
        <v>20.862716330728095</v>
      </c>
      <c r="AC1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59.591182019145336</v>
      </c>
      <c r="AD1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">
        <f>MainTbl[[#This Row],[H_from_solvents]]+MainTbl[[#This Row],[H_from_salts]]</f>
        <v>59.591182019145336</v>
      </c>
      <c r="AF1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0.3</v>
      </c>
      <c r="AH12">
        <f>MainTbl[[#This Row],[Li_from_solvents]]+MainTbl[[#This Row],[Li_from_salts]]</f>
        <v>0.3</v>
      </c>
      <c r="AI1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107.10428352381551</v>
      </c>
      <c r="AJ12" s="2">
        <f>IFERROR(MainTbl[[#This Row],[O_total]]/MainTbl[[#This Row],[TotalAtoms_all]],0)</f>
        <v>3.3215863507656047E-2</v>
      </c>
      <c r="AK12" s="2">
        <f>IFERROR(MainTbl[[#This Row],[O_from_solvents]]/MainTbl[[#This Row],[TotalAtoms_all]],0)</f>
        <v>2.2011829826471201E-2</v>
      </c>
      <c r="AL12" s="2">
        <f>IFERROR(MainTbl[[#This Row],[O_from_salts]]/MainTbl[[#This Row],[TotalAtoms_all]],0)</f>
        <v>1.1204033681184845E-2</v>
      </c>
      <c r="AM12" s="2">
        <f>IFERROR(MainTbl[[#This Row],[C_total]]/MainTbl[[#This Row],[TotalAtoms_all]],0)</f>
        <v>0.20440661373232269</v>
      </c>
      <c r="AN12" s="2">
        <f>IFERROR(MainTbl[[#This Row],[C_from_solvents]]/MainTbl[[#This Row],[TotalAtoms_all]],0)</f>
        <v>0.19880459689173027</v>
      </c>
      <c r="AO12" s="2">
        <f>IFERROR(MainTbl[[#This Row],[C_from_salts]]/MainTbl[[#This Row],[TotalAtoms_all]],0)</f>
        <v>5.6020168405924225E-3</v>
      </c>
      <c r="AP12" s="2">
        <f>IFERROR(MainTbl[[#This Row],[F_total]]/MainTbl[[#This Row],[TotalAtoms_all]],0)</f>
        <v>0.19478881370873555</v>
      </c>
      <c r="AQ12" s="2">
        <f>IFERROR(MainTbl[[#This Row],[F_from_solvents]]/MainTbl[[#This Row],[TotalAtoms_all]],0)</f>
        <v>0.17798276318695827</v>
      </c>
      <c r="AR12" s="2">
        <f>IFERROR(MainTbl[[#This Row],[F_from_salts]]/MainTbl[[#This Row],[TotalAtoms_all]],0)</f>
        <v>1.6806050521777267E-2</v>
      </c>
      <c r="AS12" s="2">
        <f>IFERROR(MainTbl[[#This Row],[F_total]]/MainTbl[[#This Row],[O_total]],0)</f>
        <v>5.8643308690089588</v>
      </c>
      <c r="AT12" s="2">
        <f>IFERROR(MainTbl[[#This Row],[F_total]]/MainTbl[[#This Row],[C_total]],0)</f>
        <v>0.95294770629984615</v>
      </c>
      <c r="AU12" s="2">
        <f>IFERROR(MainTbl[[#This Row],[O_total]]/MainTbl[[#This Row],[C_total]],0)</f>
        <v>0.16249896664866886</v>
      </c>
      <c r="AV12" s="2">
        <f>IFERROR((MainTbl[[#This Row],[TotalAtoms_all]]-(MainTbl[[#This Row],[C_total]]+MainTbl[[#This Row],[H_total]]+MainTbl[[#This Row],[Li_total]]))/MainTbl[[#This Row],[C_total]],0)</f>
        <v>1.1565560338809002</v>
      </c>
      <c r="AW12" t="str">
        <f>IFERROR(VLOOKUP(MainTbl[[#This Row],[salt_1_smiles]],SaltTbl[],MATCH("Salt",SaltTbl[#Headers],0),FALSE),"")</f>
        <v>LiTFSI</v>
      </c>
      <c r="AX12" t="str">
        <f>IFERROR(VLOOKUP(MainTbl[[#This Row],[salt_2_smiles]],SaltTbl[],MATCH("Salt",SaltTbl[#Headers],0),FALSE),"")</f>
        <v/>
      </c>
      <c r="AY12" t="str">
        <f>IFERROR(VLOOKUP(MainTbl[[#This Row],[solvent_1_smiles]],SolvTbl[],MATCH("Solvent",SolvTbl[#Headers],0),FALSE),"")</f>
        <v>THF (C4H8O)</v>
      </c>
      <c r="AZ12" t="str">
        <f>IFERROR(VLOOKUP(MainTbl[[#This Row],[solvent_2_smiles]],SolvTbl[],MATCH("Solvent",SolvTbl[#Headers],0),FALSE),"")</f>
        <v>Fluoromethane</v>
      </c>
      <c r="BA12" t="str">
        <f>IFERROR(VLOOKUP(MainTbl[[#This Row],[solvent_3_smiles]],SolvTbl[],MATCH("Solvent",SolvTbl[#Headers],0),FALSE),"")</f>
        <v>Carbon dioxide</v>
      </c>
      <c r="BB12">
        <f>--(MainTbl[[#This Row],[solv_1_ratio]]&gt;0)+--(MainTbl[[#This Row],[solv_2_ratio]]&gt;0)+--(MainTbl[[#This Row],[solv_3_ratio]]&gt;0)</f>
        <v>3</v>
      </c>
      <c r="BC12" t="str">
        <f>IF(AND(MainTbl[[#This Row],[SaltName1]]&lt;&gt;"",MainTbl[[#This Row],[salt_1_conc]]&gt;0),TEXT(MainTbl[[#This Row],[salt_1_conc]],"0.###")&amp;" M "&amp;MainTbl[[#This Row],[SaltName1]],"")</f>
        <v>0.3 M LiTFSI</v>
      </c>
      <c r="BD12" t="str">
        <f>IF(AND(MainTbl[[#This Row],[SaltName2]]&lt;&gt;"",MainTbl[[#This Row],[salt_2_conc]]&gt;0),TEXT(MainTbl[[#This Row],[salt_2_conc]],"0.###")&amp;" M "&amp;MainTbl[[#This Row],[SaltName2]],"")</f>
        <v/>
      </c>
      <c r="BE1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0.3 M LiTFSI</v>
      </c>
      <c r="BF12" t="str">
        <f>IF(MainTbl[[#This Row],[SolvCount]]=1,MainTbl[[#This Row],[SolvName1]],IF(MainTbl[[#This Row],[solv_1_ratio]]&gt;0,MainTbl[[#This Row],[SolvName1]]&amp;" "&amp;TEXT(MainTbl[[#This Row],[solv_1_ratio]]*100,"0.##")&amp;"%",""))</f>
        <v>THF (C4H8O) 2.44%</v>
      </c>
      <c r="BG12" t="str">
        <f>IF(MainTbl[[#This Row],[SolvCount]]=1,MainTbl[[#This Row],[SolvName2]],IF(MainTbl[[#This Row],[solv_2_ratio]]&gt;0,MainTbl[[#This Row],[SolvName2]]&amp;" "&amp;TEXT(MainTbl[[#This Row],[solv_2_ratio]]*100,"0.##")&amp;"%",""))</f>
        <v>Fluoromethane 92.68%</v>
      </c>
      <c r="BH12" t="str">
        <f>IF(MainTbl[[#This Row],[SolvCount]]=1,MainTbl[[#This Row],[SolvName3]],IF(MainTbl[[#This Row],[solv_3_ratio]]&gt;0,MainTbl[[#This Row],[SolvName3]]&amp;" "&amp;TEXT(MainTbl[[#This Row],[solv_3_ratio]]*100,"0.##")&amp;"%",""))</f>
        <v>Carbon dioxide 4.88%</v>
      </c>
      <c r="BI1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THF (C4H8O) 2.44% + Fluoromethane 92.68% + Carbon dioxide 4.88%</v>
      </c>
      <c r="BJ12" t="str">
        <f>TRIM(_xlfn.CONCAT(MainTbl[[#This Row],[Salt_text]]," ",MainTbl[[#This Row],[Solvent_text]]))</f>
        <v>0.3 M LiTFSI THF (C4H8O) 2.44% + Fluoromethane 92.68% + Carbon dioxide 4.88%</v>
      </c>
    </row>
    <row r="13" spans="1:63" x14ac:dyDescent="0.25">
      <c r="A13" t="s">
        <v>19</v>
      </c>
      <c r="B13" t="s">
        <v>27</v>
      </c>
      <c r="C13" t="s">
        <v>28</v>
      </c>
      <c r="D13" t="s">
        <v>29</v>
      </c>
      <c r="F13" t="s">
        <v>30</v>
      </c>
      <c r="G13">
        <v>0.243902439</v>
      </c>
      <c r="H13">
        <v>0.31707317099999999</v>
      </c>
      <c r="I13">
        <v>0.43902438999999999</v>
      </c>
      <c r="J13">
        <v>1</v>
      </c>
      <c r="K13">
        <v>0</v>
      </c>
      <c r="L13">
        <v>0.99</v>
      </c>
      <c r="M13">
        <f t="shared" si="0"/>
        <v>99</v>
      </c>
      <c r="N13">
        <f t="shared" si="1"/>
        <v>1.9999999999999996</v>
      </c>
      <c r="O13">
        <f>IFERROR(MainTbl[[#This Row],[solv_1_ratio]]*VLOOKUP(MainTbl[[#This Row],[solvent_1_smiles]],SolvTbl[],13,FALSE),0)</f>
        <v>3.6559607944402814</v>
      </c>
      <c r="P13">
        <f>IFERROR(MainTbl[[#This Row],[solv_2_ratio]]*VLOOKUP(MainTbl[[#This Row],[solvent_2_smiles]],SolvTbl[],13,FALSE),0)</f>
        <v>3.7663835006327844</v>
      </c>
      <c r="Q13">
        <f>IFERROR(MainTbl[[#This Row],[solv_3_ratio]]*VLOOKUP(MainTbl[[#This Row],[solvent_3_smiles]],SolvTbl[],13,FALSE),0)</f>
        <v>3.6235400004232625</v>
      </c>
      <c r="R13">
        <f>IFERROR(MainTbl[[#This Row],[salt_1_conc]],0)</f>
        <v>1</v>
      </c>
      <c r="S13">
        <f>IFERROR(MainTbl[[#This Row],[salt_2_conc]],0)</f>
        <v>0</v>
      </c>
      <c r="T1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33.137652886488986</v>
      </c>
      <c r="U1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3">
        <f>MainTbl[[#This Row],[O_from_solvents]]+MainTbl[[#This Row],[O_from_salts]]</f>
        <v>33.137652886488986</v>
      </c>
      <c r="W1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40.38473288733551</v>
      </c>
      <c r="X1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">
        <f>MainTbl[[#This Row],[C_from_solvents]]+MainTbl[[#This Row],[C_from_salts]]</f>
        <v>40.38473288733551</v>
      </c>
      <c r="Z1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3">
        <f>MainTbl[[#This Row],[F_from_solvents]]+MainTbl[[#This Row],[F_from_salts]]</f>
        <v>6</v>
      </c>
      <c r="AC1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73.457544185790454</v>
      </c>
      <c r="AD1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">
        <f>MainTbl[[#This Row],[H_from_solvents]]+MainTbl[[#This Row],[H_from_salts]]</f>
        <v>73.457544185790454</v>
      </c>
      <c r="AF1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3">
        <f>MainTbl[[#This Row],[Li_from_solvents]]+MainTbl[[#This Row],[Li_from_salts]]</f>
        <v>1</v>
      </c>
      <c r="AI1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154.97992995961494</v>
      </c>
      <c r="AJ13" s="2">
        <f>IFERROR(MainTbl[[#This Row],[O_total]]/MainTbl[[#This Row],[TotalAtoms_all]],0)</f>
        <v>0.21381899511197405</v>
      </c>
      <c r="AK13" s="2">
        <f>IFERROR(MainTbl[[#This Row],[O_from_solvents]]/MainTbl[[#This Row],[TotalAtoms_all]],0)</f>
        <v>0.21381899511197405</v>
      </c>
      <c r="AL13" s="2">
        <f>IFERROR(MainTbl[[#This Row],[O_from_salts]]/MainTbl[[#This Row],[TotalAtoms_all]],0)</f>
        <v>0</v>
      </c>
      <c r="AM13" s="2">
        <f>IFERROR(MainTbl[[#This Row],[C_total]]/MainTbl[[#This Row],[TotalAtoms_all]],0)</f>
        <v>0.26058040481666928</v>
      </c>
      <c r="AN13" s="2">
        <f>IFERROR(MainTbl[[#This Row],[C_from_solvents]]/MainTbl[[#This Row],[TotalAtoms_all]],0)</f>
        <v>0.26058040481666928</v>
      </c>
      <c r="AO13" s="2">
        <f>IFERROR(MainTbl[[#This Row],[C_from_salts]]/MainTbl[[#This Row],[TotalAtoms_all]],0)</f>
        <v>0</v>
      </c>
      <c r="AP13" s="2">
        <f>IFERROR(MainTbl[[#This Row],[F_total]]/MainTbl[[#This Row],[TotalAtoms_all]],0)</f>
        <v>3.87146903574127E-2</v>
      </c>
      <c r="AQ13" s="2">
        <f>IFERROR(MainTbl[[#This Row],[F_from_solvents]]/MainTbl[[#This Row],[TotalAtoms_all]],0)</f>
        <v>0</v>
      </c>
      <c r="AR13" s="2">
        <f>IFERROR(MainTbl[[#This Row],[F_from_salts]]/MainTbl[[#This Row],[TotalAtoms_all]],0)</f>
        <v>3.87146903574127E-2</v>
      </c>
      <c r="AS13" s="2">
        <f>IFERROR(MainTbl[[#This Row],[F_total]]/MainTbl[[#This Row],[O_total]],0)</f>
        <v>0.18106291415848416</v>
      </c>
      <c r="AT13" s="2">
        <f>IFERROR(MainTbl[[#This Row],[F_total]]/MainTbl[[#This Row],[C_total]],0)</f>
        <v>0.14857099629057038</v>
      </c>
      <c r="AU13" s="2">
        <f>IFERROR(MainTbl[[#This Row],[O_total]]/MainTbl[[#This Row],[C_total]],0)</f>
        <v>0.8205490173461274</v>
      </c>
      <c r="AV13" s="2">
        <f>IFERROR((MainTbl[[#This Row],[TotalAtoms_all]]-(MainTbl[[#This Row],[C_total]]+MainTbl[[#This Row],[H_total]]+MainTbl[[#This Row],[Li_total]]))/MainTbl[[#This Row],[C_total]],0)</f>
        <v>0.99388184635179266</v>
      </c>
      <c r="AW13" t="str">
        <f>IFERROR(VLOOKUP(MainTbl[[#This Row],[salt_1_smiles]],SaltTbl[],MATCH("Salt",SaltTbl[#Headers],0),FALSE),"")</f>
        <v>LiPF6</v>
      </c>
      <c r="AX13" t="str">
        <f>IFERROR(VLOOKUP(MainTbl[[#This Row],[salt_2_smiles]],SaltTbl[],MATCH("Salt",SaltTbl[#Headers],0),FALSE),"")</f>
        <v/>
      </c>
      <c r="AY13" t="str">
        <f>IFERROR(VLOOKUP(MainTbl[[#This Row],[solvent_1_smiles]],SolvTbl[],MATCH("Solvent",SolvTbl[#Headers],0),FALSE),"")</f>
        <v>Ethylene carbonate</v>
      </c>
      <c r="AZ13" t="str">
        <f>IFERROR(VLOOKUP(MainTbl[[#This Row],[solvent_2_smiles]],SolvTbl[],MATCH("Solvent",SolvTbl[#Headers],0),FALSE),"")</f>
        <v>DMC (C3H6O3)</v>
      </c>
      <c r="BA13" t="str">
        <f>IFERROR(VLOOKUP(MainTbl[[#This Row],[solvent_3_smiles]],SolvTbl[],MATCH("Solvent",SolvTbl[#Headers],0),FALSE),"")</f>
        <v>Diethyl Carbonate</v>
      </c>
      <c r="BB13">
        <f>--(MainTbl[[#This Row],[solv_1_ratio]]&gt;0)+--(MainTbl[[#This Row],[solv_2_ratio]]&gt;0)+--(MainTbl[[#This Row],[solv_3_ratio]]&gt;0)</f>
        <v>3</v>
      </c>
      <c r="BC13" t="str">
        <f>IF(AND(MainTbl[[#This Row],[SaltName1]]&lt;&gt;"",MainTbl[[#This Row],[salt_1_conc]]&gt;0),TEXT(MainTbl[[#This Row],[salt_1_conc]],"0.###")&amp;" M "&amp;MainTbl[[#This Row],[SaltName1]],"")</f>
        <v>1. M LiPF6</v>
      </c>
      <c r="BD13" t="str">
        <f>IF(AND(MainTbl[[#This Row],[SaltName2]]&lt;&gt;"",MainTbl[[#This Row],[salt_2_conc]]&gt;0),TEXT(MainTbl[[#This Row],[salt_2_conc]],"0.###")&amp;" M "&amp;MainTbl[[#This Row],[SaltName2]],"")</f>
        <v/>
      </c>
      <c r="BE1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3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24.39%</v>
      </c>
      <c r="BG13" t="str">
        <f>IF(MainTbl[[#This Row],[SolvCount]]=1,MainTbl[[#This Row],[SolvName2]],IF(MainTbl[[#This Row],[solv_2_ratio]]&gt;0,MainTbl[[#This Row],[SolvName2]]&amp;" "&amp;TEXT(MainTbl[[#This Row],[solv_2_ratio]]*100,"0.##")&amp;"%",""))</f>
        <v>DMC (C3H6O3) 31.71%</v>
      </c>
      <c r="BH13" t="str">
        <f>IF(MainTbl[[#This Row],[SolvCount]]=1,MainTbl[[#This Row],[SolvName3]],IF(MainTbl[[#This Row],[solv_3_ratio]]&gt;0,MainTbl[[#This Row],[SolvName3]]&amp;" "&amp;TEXT(MainTbl[[#This Row],[solv_3_ratio]]*100,"0.##")&amp;"%",""))</f>
        <v>Diethyl Carbonate 43.9%</v>
      </c>
      <c r="BI1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24.39% + DMC (C3H6O3) 31.71% + Diethyl Carbonate 43.9%</v>
      </c>
      <c r="BJ13" t="str">
        <f>TRIM(_xlfn.CONCAT(MainTbl[[#This Row],[Salt_text]]," ",MainTbl[[#This Row],[Solvent_text]]))</f>
        <v>1. M LiPF6 Ethylene carbonate 24.39% + DMC (C3H6O3) 31.71% + Diethyl Carbonate 43.9%</v>
      </c>
    </row>
    <row r="14" spans="1:63" x14ac:dyDescent="0.25">
      <c r="A14" t="s">
        <v>18</v>
      </c>
      <c r="D14" t="s">
        <v>22</v>
      </c>
      <c r="G14">
        <v>1</v>
      </c>
      <c r="H14">
        <v>0</v>
      </c>
      <c r="I14">
        <v>0</v>
      </c>
      <c r="J14">
        <v>12</v>
      </c>
      <c r="K14">
        <v>0</v>
      </c>
      <c r="L14">
        <v>0.99199999999999999</v>
      </c>
      <c r="M14">
        <f t="shared" si="0"/>
        <v>99.2</v>
      </c>
      <c r="N14">
        <f t="shared" si="1"/>
        <v>2.0969100130080562</v>
      </c>
      <c r="O14">
        <f>IFERROR(MainTbl[[#This Row],[solv_1_ratio]]*VLOOKUP(MainTbl[[#This Row],[solvent_1_smiles]],SolvTbl[],13,FALSE),0)</f>
        <v>9.631602308033731</v>
      </c>
      <c r="P14">
        <f>IFERROR(MainTbl[[#This Row],[solv_2_ratio]]*VLOOKUP(MainTbl[[#This Row],[solvent_2_smiles]],SolvTbl[],13,FALSE),0)</f>
        <v>0</v>
      </c>
      <c r="Q14">
        <f>IFERROR(MainTbl[[#This Row],[solv_3_ratio]]*VLOOKUP(MainTbl[[#This Row],[solvent_3_smiles]],SolvTbl[],13,FALSE),0)</f>
        <v>0</v>
      </c>
      <c r="R14">
        <f>IFERROR(MainTbl[[#This Row],[salt_1_conc]],0)</f>
        <v>12</v>
      </c>
      <c r="S14">
        <f>IFERROR(MainTbl[[#This Row],[salt_2_conc]],0)</f>
        <v>0</v>
      </c>
      <c r="T1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1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48</v>
      </c>
      <c r="V14">
        <f>MainTbl[[#This Row],[O_from_solvents]]+MainTbl[[#This Row],[O_from_salts]]</f>
        <v>67.263204616067469</v>
      </c>
      <c r="W1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1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4">
        <f>MainTbl[[#This Row],[C_from_solvents]]+MainTbl[[#This Row],[C_from_salts]]</f>
        <v>38.526409232134924</v>
      </c>
      <c r="Z1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24</v>
      </c>
      <c r="AB14">
        <f>MainTbl[[#This Row],[F_from_solvents]]+MainTbl[[#This Row],[F_from_salts]]</f>
        <v>24</v>
      </c>
      <c r="AC1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1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4">
        <f>MainTbl[[#This Row],[H_from_solvents]]+MainTbl[[#This Row],[H_from_salts]]</f>
        <v>96.316023080337317</v>
      </c>
      <c r="AF1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12</v>
      </c>
      <c r="AH14">
        <f>MainTbl[[#This Row],[Li_from_solvents]]+MainTbl[[#This Row],[Li_from_salts]]</f>
        <v>12</v>
      </c>
      <c r="AI1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274.1056369285397</v>
      </c>
      <c r="AJ14" s="2">
        <f>IFERROR(MainTbl[[#This Row],[O_total]]/MainTbl[[#This Row],[TotalAtoms_all]],0)</f>
        <v>0.24539154090290827</v>
      </c>
      <c r="AK14" s="2">
        <f>IFERROR(MainTbl[[#This Row],[O_from_solvents]]/MainTbl[[#This Row],[TotalAtoms_all]],0)</f>
        <v>7.0276572316859895E-2</v>
      </c>
      <c r="AL14" s="2">
        <f>IFERROR(MainTbl[[#This Row],[O_from_salts]]/MainTbl[[#This Row],[TotalAtoms_all]],0)</f>
        <v>0.17511496858604833</v>
      </c>
      <c r="AM14" s="2">
        <f>IFERROR(MainTbl[[#This Row],[C_total]]/MainTbl[[#This Row],[TotalAtoms_all]],0)</f>
        <v>0.14055314463371979</v>
      </c>
      <c r="AN14" s="2">
        <f>IFERROR(MainTbl[[#This Row],[C_from_solvents]]/MainTbl[[#This Row],[TotalAtoms_all]],0)</f>
        <v>0.14055314463371979</v>
      </c>
      <c r="AO14" s="2">
        <f>IFERROR(MainTbl[[#This Row],[C_from_salts]]/MainTbl[[#This Row],[TotalAtoms_all]],0)</f>
        <v>0</v>
      </c>
      <c r="AP14" s="2">
        <f>IFERROR(MainTbl[[#This Row],[F_total]]/MainTbl[[#This Row],[TotalAtoms_all]],0)</f>
        <v>8.7557484293024165E-2</v>
      </c>
      <c r="AQ14" s="2">
        <f>IFERROR(MainTbl[[#This Row],[F_from_solvents]]/MainTbl[[#This Row],[TotalAtoms_all]],0)</f>
        <v>0</v>
      </c>
      <c r="AR14" s="2">
        <f>IFERROR(MainTbl[[#This Row],[F_from_salts]]/MainTbl[[#This Row],[TotalAtoms_all]],0)</f>
        <v>8.7557484293024165E-2</v>
      </c>
      <c r="AS14" s="2">
        <f>IFERROR(MainTbl[[#This Row],[F_total]]/MainTbl[[#This Row],[O_total]],0)</f>
        <v>0.356807263896954</v>
      </c>
      <c r="AT14" s="2">
        <f>IFERROR(MainTbl[[#This Row],[F_total]]/MainTbl[[#This Row],[C_total]],0)</f>
        <v>0.62294930875576049</v>
      </c>
      <c r="AU14" s="2">
        <f>IFERROR(MainTbl[[#This Row],[O_total]]/MainTbl[[#This Row],[C_total]],0)</f>
        <v>1.7458986175115212</v>
      </c>
      <c r="AV14" s="2">
        <f>IFERROR((MainTbl[[#This Row],[TotalAtoms_all]]-(MainTbl[[#This Row],[C_total]]+MainTbl[[#This Row],[H_total]]+MainTbl[[#This Row],[Li_total]]))/MainTbl[[#This Row],[C_total]],0)</f>
        <v>3.3032718894009223</v>
      </c>
      <c r="AW14" t="str">
        <f>IFERROR(VLOOKUP(MainTbl[[#This Row],[salt_1_smiles]],SaltTbl[],MATCH("Salt",SaltTbl[#Headers],0),FALSE),"")</f>
        <v>LiFSI</v>
      </c>
      <c r="AX14" t="str">
        <f>IFERROR(VLOOKUP(MainTbl[[#This Row],[salt_2_smiles]],SaltTbl[],MATCH("Salt",SaltTbl[#Headers],0),FALSE),"")</f>
        <v/>
      </c>
      <c r="AY14" t="str">
        <f>IFERROR(VLOOKUP(MainTbl[[#This Row],[solvent_1_smiles]],SolvTbl[],MATCH("Solvent",SolvTbl[#Headers],0),FALSE),"")</f>
        <v>DME (C4H10O2)</v>
      </c>
      <c r="AZ14" t="str">
        <f>IFERROR(VLOOKUP(MainTbl[[#This Row],[solvent_2_smiles]],SolvTbl[],MATCH("Solvent",SolvTbl[#Headers],0),FALSE),"")</f>
        <v/>
      </c>
      <c r="BA14" t="str">
        <f>IFERROR(VLOOKUP(MainTbl[[#This Row],[solvent_3_smiles]],SolvTbl[],MATCH("Solvent",SolvTbl[#Headers],0),FALSE),"")</f>
        <v/>
      </c>
      <c r="BB14">
        <f>--(MainTbl[[#This Row],[solv_1_ratio]]&gt;0)+--(MainTbl[[#This Row],[solv_2_ratio]]&gt;0)+--(MainTbl[[#This Row],[solv_3_ratio]]&gt;0)</f>
        <v>1</v>
      </c>
      <c r="BC14" t="str">
        <f>IF(AND(MainTbl[[#This Row],[SaltName1]]&lt;&gt;"",MainTbl[[#This Row],[salt_1_conc]]&gt;0),TEXT(MainTbl[[#This Row],[salt_1_conc]],"0.###")&amp;" M "&amp;MainTbl[[#This Row],[SaltName1]],"")</f>
        <v>12. M LiFSI</v>
      </c>
      <c r="BD14" t="str">
        <f>IF(AND(MainTbl[[#This Row],[SaltName2]]&lt;&gt;"",MainTbl[[#This Row],[salt_2_conc]]&gt;0),TEXT(MainTbl[[#This Row],[salt_2_conc]],"0.###")&amp;" M "&amp;MainTbl[[#This Row],[SaltName2]],"")</f>
        <v/>
      </c>
      <c r="BE1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12. M LiFSI</v>
      </c>
      <c r="BF14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14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14" t="str">
        <f>TRIM(_xlfn.CONCAT(MainTbl[[#This Row],[Salt_text]]," ",MainTbl[[#This Row],[Solvent_text]]))</f>
        <v>12. M LiFSI DME (C4H10O2)</v>
      </c>
    </row>
    <row r="15" spans="1:63" x14ac:dyDescent="0.25">
      <c r="A15" t="s">
        <v>19</v>
      </c>
      <c r="B15" t="s">
        <v>27</v>
      </c>
      <c r="D15" t="s">
        <v>22</v>
      </c>
      <c r="G15">
        <v>0.5</v>
      </c>
      <c r="H15">
        <v>0.5</v>
      </c>
      <c r="I15">
        <v>0</v>
      </c>
      <c r="J15">
        <v>10</v>
      </c>
      <c r="K15">
        <v>0</v>
      </c>
      <c r="L15">
        <v>0.99299999999999999</v>
      </c>
      <c r="M15">
        <f t="shared" si="0"/>
        <v>99.3</v>
      </c>
      <c r="N15">
        <f t="shared" si="1"/>
        <v>2.1549019599857426</v>
      </c>
      <c r="O15">
        <f>IFERROR(MainTbl[[#This Row],[solv_1_ratio]]*VLOOKUP(MainTbl[[#This Row],[solvent_1_smiles]],SolvTbl[],13,FALSE),0)</f>
        <v>7.4947196293520486</v>
      </c>
      <c r="P15">
        <f>IFERROR(MainTbl[[#This Row],[solv_2_ratio]]*VLOOKUP(MainTbl[[#This Row],[solvent_2_smiles]],SolvTbl[],13,FALSE),0)</f>
        <v>5.9392970536646015</v>
      </c>
      <c r="Q15">
        <f>IFERROR(MainTbl[[#This Row],[solv_3_ratio]]*VLOOKUP(MainTbl[[#This Row],[solvent_3_smiles]],SolvTbl[],13,FALSE),0)</f>
        <v>0</v>
      </c>
      <c r="R15">
        <f>IFERROR(MainTbl[[#This Row],[salt_1_conc]],0)</f>
        <v>10</v>
      </c>
      <c r="S15">
        <f>IFERROR(MainTbl[[#This Row],[salt_2_conc]],0)</f>
        <v>0</v>
      </c>
      <c r="T1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40.302050049049953</v>
      </c>
      <c r="U1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40</v>
      </c>
      <c r="V15">
        <f>MainTbl[[#This Row],[O_from_solvents]]+MainTbl[[#This Row],[O_from_salts]]</f>
        <v>80.302050049049953</v>
      </c>
      <c r="W1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40.302050049049953</v>
      </c>
      <c r="X1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5">
        <f>MainTbl[[#This Row],[C_from_solvents]]+MainTbl[[#This Row],[C_from_salts]]</f>
        <v>40.302050049049953</v>
      </c>
      <c r="Z1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20</v>
      </c>
      <c r="AB15">
        <f>MainTbl[[#This Row],[F_from_solvents]]+MainTbl[[#This Row],[F_from_salts]]</f>
        <v>20</v>
      </c>
      <c r="AC1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65.614660839395796</v>
      </c>
      <c r="AD1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5">
        <f>MainTbl[[#This Row],[H_from_solvents]]+MainTbl[[#This Row],[H_from_salts]]</f>
        <v>65.614660839395796</v>
      </c>
      <c r="AF1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10</v>
      </c>
      <c r="AH15">
        <f>MainTbl[[#This Row],[Li_from_solvents]]+MainTbl[[#This Row],[Li_from_salts]]</f>
        <v>10</v>
      </c>
      <c r="AI1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246.21876093749569</v>
      </c>
      <c r="AJ15" s="2">
        <f>IFERROR(MainTbl[[#This Row],[O_total]]/MainTbl[[#This Row],[TotalAtoms_all]],0)</f>
        <v>0.32614106960531403</v>
      </c>
      <c r="AK15" s="2">
        <f>IFERROR(MainTbl[[#This Row],[O_from_solvents]]/MainTbl[[#This Row],[TotalAtoms_all]],0)</f>
        <v>0.16368391220716486</v>
      </c>
      <c r="AL15" s="2">
        <f>IFERROR(MainTbl[[#This Row],[O_from_salts]]/MainTbl[[#This Row],[TotalAtoms_all]],0)</f>
        <v>0.16245715739814917</v>
      </c>
      <c r="AM15" s="2">
        <f>IFERROR(MainTbl[[#This Row],[C_total]]/MainTbl[[#This Row],[TotalAtoms_all]],0)</f>
        <v>0.16368391220716486</v>
      </c>
      <c r="AN15" s="2">
        <f>IFERROR(MainTbl[[#This Row],[C_from_solvents]]/MainTbl[[#This Row],[TotalAtoms_all]],0)</f>
        <v>0.16368391220716486</v>
      </c>
      <c r="AO15" s="2">
        <f>IFERROR(MainTbl[[#This Row],[C_from_salts]]/MainTbl[[#This Row],[TotalAtoms_all]],0)</f>
        <v>0</v>
      </c>
      <c r="AP15" s="2">
        <f>IFERROR(MainTbl[[#This Row],[F_total]]/MainTbl[[#This Row],[TotalAtoms_all]],0)</f>
        <v>8.1228578699074586E-2</v>
      </c>
      <c r="AQ15" s="2">
        <f>IFERROR(MainTbl[[#This Row],[F_from_solvents]]/MainTbl[[#This Row],[TotalAtoms_all]],0)</f>
        <v>0</v>
      </c>
      <c r="AR15" s="2">
        <f>IFERROR(MainTbl[[#This Row],[F_from_salts]]/MainTbl[[#This Row],[TotalAtoms_all]],0)</f>
        <v>8.1228578699074586E-2</v>
      </c>
      <c r="AS15" s="2">
        <f>IFERROR(MainTbl[[#This Row],[F_total]]/MainTbl[[#This Row],[O_total]],0)</f>
        <v>0.24905964402880917</v>
      </c>
      <c r="AT15" s="2">
        <f>IFERROR(MainTbl[[#This Row],[F_total]]/MainTbl[[#This Row],[C_total]],0)</f>
        <v>0.4962526714065123</v>
      </c>
      <c r="AU15" s="2">
        <f>IFERROR(MainTbl[[#This Row],[O_total]]/MainTbl[[#This Row],[C_total]],0)</f>
        <v>1.9925053428130246</v>
      </c>
      <c r="AV15" s="2">
        <f>IFERROR((MainTbl[[#This Row],[TotalAtoms_all]]-(MainTbl[[#This Row],[C_total]]+MainTbl[[#This Row],[H_total]]+MainTbl[[#This Row],[Li_total]]))/MainTbl[[#This Row],[C_total]],0)</f>
        <v>3.2331370213293051</v>
      </c>
      <c r="AW15" t="str">
        <f>IFERROR(VLOOKUP(MainTbl[[#This Row],[salt_1_smiles]],SaltTbl[],MATCH("Salt",SaltTbl[#Headers],0),FALSE),"")</f>
        <v>LiFSI</v>
      </c>
      <c r="AX15" t="str">
        <f>IFERROR(VLOOKUP(MainTbl[[#This Row],[salt_2_smiles]],SaltTbl[],MATCH("Salt",SaltTbl[#Headers],0),FALSE),"")</f>
        <v/>
      </c>
      <c r="AY15" t="str">
        <f>IFERROR(VLOOKUP(MainTbl[[#This Row],[solvent_1_smiles]],SolvTbl[],MATCH("Solvent",SolvTbl[#Headers],0),FALSE),"")</f>
        <v>Ethylene carbonate</v>
      </c>
      <c r="AZ15" t="str">
        <f>IFERROR(VLOOKUP(MainTbl[[#This Row],[solvent_2_smiles]],SolvTbl[],MATCH("Solvent",SolvTbl[#Headers],0),FALSE),"")</f>
        <v>DMC (C3H6O3)</v>
      </c>
      <c r="BA15" t="str">
        <f>IFERROR(VLOOKUP(MainTbl[[#This Row],[solvent_3_smiles]],SolvTbl[],MATCH("Solvent",SolvTbl[#Headers],0),FALSE),"")</f>
        <v/>
      </c>
      <c r="BB15">
        <f>--(MainTbl[[#This Row],[solv_1_ratio]]&gt;0)+--(MainTbl[[#This Row],[solv_2_ratio]]&gt;0)+--(MainTbl[[#This Row],[solv_3_ratio]]&gt;0)</f>
        <v>2</v>
      </c>
      <c r="BC15" t="str">
        <f>IF(AND(MainTbl[[#This Row],[SaltName1]]&lt;&gt;"",MainTbl[[#This Row],[salt_1_conc]]&gt;0),TEXT(MainTbl[[#This Row],[salt_1_conc]],"0.###")&amp;" M "&amp;MainTbl[[#This Row],[SaltName1]],"")</f>
        <v>10. M LiFSI</v>
      </c>
      <c r="BD15" t="str">
        <f>IF(AND(MainTbl[[#This Row],[SaltName2]]&lt;&gt;"",MainTbl[[#This Row],[salt_2_conc]]&gt;0),TEXT(MainTbl[[#This Row],[salt_2_conc]],"0.###")&amp;" M "&amp;MainTbl[[#This Row],[SaltName2]],"")</f>
        <v/>
      </c>
      <c r="BE1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10. M LiFSI</v>
      </c>
      <c r="BF15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15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1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DMC (C3H6O3) 50.%</v>
      </c>
      <c r="BJ15" t="str">
        <f>TRIM(_xlfn.CONCAT(MainTbl[[#This Row],[Salt_text]]," ",MainTbl[[#This Row],[Solvent_text]]))</f>
        <v>10. M LiFSI Ethylene carbonate 50.% + DMC (C3H6O3) 50.%</v>
      </c>
    </row>
    <row r="16" spans="1:63" x14ac:dyDescent="0.25">
      <c r="A16" t="s">
        <v>27</v>
      </c>
      <c r="B16" t="s">
        <v>31</v>
      </c>
      <c r="D16" t="s">
        <v>22</v>
      </c>
      <c r="G16">
        <v>0.25</v>
      </c>
      <c r="H16">
        <v>0.75</v>
      </c>
      <c r="I16">
        <v>0</v>
      </c>
      <c r="J16">
        <v>2.5</v>
      </c>
      <c r="K16">
        <v>0</v>
      </c>
      <c r="L16">
        <v>0.995</v>
      </c>
      <c r="M16">
        <f t="shared" si="0"/>
        <v>99.5</v>
      </c>
      <c r="N16">
        <f t="shared" si="1"/>
        <v>2.3010299956639808</v>
      </c>
      <c r="O16">
        <f>IFERROR(MainTbl[[#This Row],[solv_1_ratio]]*VLOOKUP(MainTbl[[#This Row],[solvent_1_smiles]],SolvTbl[],13,FALSE),0)</f>
        <v>2.9696485268323007</v>
      </c>
      <c r="P16">
        <f>IFERROR(MainTbl[[#This Row],[solv_2_ratio]]*VLOOKUP(MainTbl[[#This Row],[solvent_2_smiles]],SolvTbl[],13,FALSE),0)</f>
        <v>5.7669493387231423</v>
      </c>
      <c r="Q16">
        <f>IFERROR(MainTbl[[#This Row],[solv_3_ratio]]*VLOOKUP(MainTbl[[#This Row],[solvent_3_smiles]],SolvTbl[],13,FALSE),0)</f>
        <v>0</v>
      </c>
      <c r="R16">
        <f>IFERROR(MainTbl[[#This Row],[salt_1_conc]],0)</f>
        <v>2.5</v>
      </c>
      <c r="S16">
        <f>IFERROR(MainTbl[[#This Row],[salt_2_conc]],0)</f>
        <v>0</v>
      </c>
      <c r="T1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14.675894919220044</v>
      </c>
      <c r="U1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10</v>
      </c>
      <c r="V16">
        <f>MainTbl[[#This Row],[O_from_solvents]]+MainTbl[[#This Row],[O_from_salts]]</f>
        <v>24.675894919220042</v>
      </c>
      <c r="W1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31.976742935389471</v>
      </c>
      <c r="X1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6">
        <f>MainTbl[[#This Row],[C_from_solvents]]+MainTbl[[#This Row],[C_from_salts]]</f>
        <v>31.976742935389471</v>
      </c>
      <c r="Z1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34.60169603233885</v>
      </c>
      <c r="AA1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5</v>
      </c>
      <c r="AB16">
        <f>MainTbl[[#This Row],[F_from_solvents]]+MainTbl[[#This Row],[F_from_salts]]</f>
        <v>39.60169603233885</v>
      </c>
      <c r="AC1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40.885688515886372</v>
      </c>
      <c r="AD1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6">
        <f>MainTbl[[#This Row],[H_from_solvents]]+MainTbl[[#This Row],[H_from_salts]]</f>
        <v>40.885688515886372</v>
      </c>
      <c r="AF1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2.5</v>
      </c>
      <c r="AH16">
        <f>MainTbl[[#This Row],[Li_from_solvents]]+MainTbl[[#This Row],[Li_from_salts]]</f>
        <v>2.5</v>
      </c>
      <c r="AI1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147.14002240283475</v>
      </c>
      <c r="AJ16" s="2">
        <f>IFERROR(MainTbl[[#This Row],[O_total]]/MainTbl[[#This Row],[TotalAtoms_all]],0)</f>
        <v>0.16770348757772546</v>
      </c>
      <c r="AK16" s="2">
        <f>IFERROR(MainTbl[[#This Row],[O_from_solvents]]/MainTbl[[#This Row],[TotalAtoms_all]],0)</f>
        <v>9.9741013216926785E-2</v>
      </c>
      <c r="AL16" s="2">
        <f>IFERROR(MainTbl[[#This Row],[O_from_salts]]/MainTbl[[#This Row],[TotalAtoms_all]],0)</f>
        <v>6.7962474360798678E-2</v>
      </c>
      <c r="AM16" s="2">
        <f>IFERROR(MainTbl[[#This Row],[C_total]]/MainTbl[[#This Row],[TotalAtoms_all]],0)</f>
        <v>0.21732185718882574</v>
      </c>
      <c r="AN16" s="2">
        <f>IFERROR(MainTbl[[#This Row],[C_from_solvents]]/MainTbl[[#This Row],[TotalAtoms_all]],0)</f>
        <v>0.21732185718882574</v>
      </c>
      <c r="AO16" s="2">
        <f>IFERROR(MainTbl[[#This Row],[C_from_salts]]/MainTbl[[#This Row],[TotalAtoms_all]],0)</f>
        <v>0</v>
      </c>
      <c r="AP16" s="2">
        <f>IFERROR(MainTbl[[#This Row],[F_total]]/MainTbl[[#This Row],[TotalAtoms_all]],0)</f>
        <v>0.26914292512419719</v>
      </c>
      <c r="AQ16" s="2">
        <f>IFERROR(MainTbl[[#This Row],[F_from_solvents]]/MainTbl[[#This Row],[TotalAtoms_all]],0)</f>
        <v>0.23516168794379785</v>
      </c>
      <c r="AR16" s="2">
        <f>IFERROR(MainTbl[[#This Row],[F_from_salts]]/MainTbl[[#This Row],[TotalAtoms_all]],0)</f>
        <v>3.3981237180399339E-2</v>
      </c>
      <c r="AS16" s="2">
        <f>IFERROR(MainTbl[[#This Row],[F_total]]/MainTbl[[#This Row],[O_total]],0)</f>
        <v>1.6048737507588067</v>
      </c>
      <c r="AT16" s="2">
        <f>IFERROR(MainTbl[[#This Row],[F_total]]/MainTbl[[#This Row],[C_total]],0)</f>
        <v>1.2384530879944828</v>
      </c>
      <c r="AU16" s="2">
        <f>IFERROR(MainTbl[[#This Row],[O_total]]/MainTbl[[#This Row],[C_total]],0)</f>
        <v>0.77168256220087394</v>
      </c>
      <c r="AV16" s="2">
        <f>IFERROR((MainTbl[[#This Row],[TotalAtoms_all]]-(MainTbl[[#This Row],[C_total]]+MainTbl[[#This Row],[H_total]]+MainTbl[[#This Row],[Li_total]]))/MainTbl[[#This Row],[C_total]],0)</f>
        <v>2.2446811139142264</v>
      </c>
      <c r="AW16" t="str">
        <f>IFERROR(VLOOKUP(MainTbl[[#This Row],[salt_1_smiles]],SaltTbl[],MATCH("Salt",SaltTbl[#Headers],0),FALSE),"")</f>
        <v>LiFSI</v>
      </c>
      <c r="AX16" t="str">
        <f>IFERROR(VLOOKUP(MainTbl[[#This Row],[salt_2_smiles]],SaltTbl[],MATCH("Salt",SaltTbl[#Headers],0),FALSE),"")</f>
        <v/>
      </c>
      <c r="AY16" t="str">
        <f>IFERROR(VLOOKUP(MainTbl[[#This Row],[solvent_1_smiles]],SolvTbl[],MATCH("Solvent",SolvTbl[#Headers],0),FALSE),"")</f>
        <v>DMC (C3H6O3)</v>
      </c>
      <c r="AZ16" t="str">
        <f>IFERROR(VLOOKUP(MainTbl[[#This Row],[solvent_2_smiles]],SolvTbl[],MATCH("Solvent",SolvTbl[#Headers],0),FALSE),"")</f>
        <v>Flurothyl</v>
      </c>
      <c r="BA16" t="str">
        <f>IFERROR(VLOOKUP(MainTbl[[#This Row],[solvent_3_smiles]],SolvTbl[],MATCH("Solvent",SolvTbl[#Headers],0),FALSE),"")</f>
        <v/>
      </c>
      <c r="BB16">
        <f>--(MainTbl[[#This Row],[solv_1_ratio]]&gt;0)+--(MainTbl[[#This Row],[solv_2_ratio]]&gt;0)+--(MainTbl[[#This Row],[solv_3_ratio]]&gt;0)</f>
        <v>2</v>
      </c>
      <c r="BC16" t="str">
        <f>IF(AND(MainTbl[[#This Row],[SaltName1]]&lt;&gt;"",MainTbl[[#This Row],[salt_1_conc]]&gt;0),TEXT(MainTbl[[#This Row],[salt_1_conc]],"0.###")&amp;" M "&amp;MainTbl[[#This Row],[SaltName1]],"")</f>
        <v>2.5 M LiFSI</v>
      </c>
      <c r="BD16" t="str">
        <f>IF(AND(MainTbl[[#This Row],[SaltName2]]&lt;&gt;"",MainTbl[[#This Row],[salt_2_conc]]&gt;0),TEXT(MainTbl[[#This Row],[salt_2_conc]],"0.###")&amp;" M "&amp;MainTbl[[#This Row],[SaltName2]],"")</f>
        <v/>
      </c>
      <c r="BE1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2.5 M LiFSI</v>
      </c>
      <c r="BF16" t="str">
        <f>IF(MainTbl[[#This Row],[SolvCount]]=1,MainTbl[[#This Row],[SolvName1]],IF(MainTbl[[#This Row],[solv_1_ratio]]&gt;0,MainTbl[[#This Row],[SolvName1]]&amp;" "&amp;TEXT(MainTbl[[#This Row],[solv_1_ratio]]*100,"0.##")&amp;"%",""))</f>
        <v>DMC (C3H6O3) 25.%</v>
      </c>
      <c r="BG16" t="str">
        <f>IF(MainTbl[[#This Row],[SolvCount]]=1,MainTbl[[#This Row],[SolvName2]],IF(MainTbl[[#This Row],[solv_2_ratio]]&gt;0,MainTbl[[#This Row],[SolvName2]]&amp;" "&amp;TEXT(MainTbl[[#This Row],[solv_2_ratio]]*100,"0.##")&amp;"%",""))</f>
        <v>Flurothyl 75.%</v>
      </c>
      <c r="BH1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DMC (C3H6O3) 25.% + Flurothyl 75.%</v>
      </c>
      <c r="BJ16" t="str">
        <f>TRIM(_xlfn.CONCAT(MainTbl[[#This Row],[Salt_text]]," ",MainTbl[[#This Row],[Solvent_text]]))</f>
        <v>2.5 M LiFSI DMC (C3H6O3) 25.% + Flurothyl 75.%</v>
      </c>
    </row>
    <row r="17" spans="1:62" x14ac:dyDescent="0.25">
      <c r="A17" t="s">
        <v>18</v>
      </c>
      <c r="B17" t="s">
        <v>32</v>
      </c>
      <c r="D17" t="s">
        <v>22</v>
      </c>
      <c r="G17">
        <v>0.16666666699999999</v>
      </c>
      <c r="H17">
        <v>0.83333333300000001</v>
      </c>
      <c r="I17">
        <v>0</v>
      </c>
      <c r="J17">
        <v>1</v>
      </c>
      <c r="K17">
        <v>0</v>
      </c>
      <c r="L17">
        <v>0.995</v>
      </c>
      <c r="M17">
        <f t="shared" si="0"/>
        <v>99.5</v>
      </c>
      <c r="N17">
        <f t="shared" si="1"/>
        <v>2.3010299956639808</v>
      </c>
      <c r="O17">
        <f>IFERROR(MainTbl[[#This Row],[solv_1_ratio]]*VLOOKUP(MainTbl[[#This Row],[solvent_1_smiles]],SolvTbl[],13,FALSE),0)</f>
        <v>1.6052670545494891</v>
      </c>
      <c r="P17">
        <f>IFERROR(MainTbl[[#This Row],[solv_2_ratio]]*VLOOKUP(MainTbl[[#This Row],[solvent_2_smiles]],SolvTbl[],13,FALSE),0)</f>
        <v>4.0306198109800544</v>
      </c>
      <c r="Q17">
        <f>IFERROR(MainTbl[[#This Row],[solv_3_ratio]]*VLOOKUP(MainTbl[[#This Row],[solvent_3_smiles]],SolvTbl[],13,FALSE),0)</f>
        <v>0</v>
      </c>
      <c r="R17">
        <f>IFERROR(MainTbl[[#This Row],[salt_1_conc]],0)</f>
        <v>1</v>
      </c>
      <c r="S17">
        <f>IFERROR(MainTbl[[#This Row],[salt_2_conc]],0)</f>
        <v>0</v>
      </c>
      <c r="T1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15.302393542039141</v>
      </c>
      <c r="U1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7">
        <f>MainTbl[[#This Row],[O_from_solvents]]+MainTbl[[#This Row],[O_from_salts]]</f>
        <v>19.302393542039141</v>
      </c>
      <c r="W1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34.635406895058338</v>
      </c>
      <c r="X1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7">
        <f>MainTbl[[#This Row],[C_from_solvents]]+MainTbl[[#This Row],[C_from_salts]]</f>
        <v>34.635406895058338</v>
      </c>
      <c r="Z1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36.275578298820491</v>
      </c>
      <c r="AA1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17">
        <f>MainTbl[[#This Row],[F_from_solvents]]+MainTbl[[#This Row],[F_from_salts]]</f>
        <v>38.275578298820491</v>
      </c>
      <c r="AC1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44.26700922235527</v>
      </c>
      <c r="AD1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7">
        <f>MainTbl[[#This Row],[H_from_solvents]]+MainTbl[[#This Row],[H_from_salts]]</f>
        <v>44.26700922235527</v>
      </c>
      <c r="AF1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7">
        <f>MainTbl[[#This Row],[Li_from_solvents]]+MainTbl[[#This Row],[Li_from_salts]]</f>
        <v>1</v>
      </c>
      <c r="AI1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140.48038795827324</v>
      </c>
      <c r="AJ17" s="2">
        <f>IFERROR(MainTbl[[#This Row],[O_total]]/MainTbl[[#This Row],[TotalAtoms_all]],0)</f>
        <v>0.13740276363539453</v>
      </c>
      <c r="AK17" s="2">
        <f>IFERROR(MainTbl[[#This Row],[O_from_solvents]]/MainTbl[[#This Row],[TotalAtoms_all]],0)</f>
        <v>0.10892903816997143</v>
      </c>
      <c r="AL17" s="2">
        <f>IFERROR(MainTbl[[#This Row],[O_from_salts]]/MainTbl[[#This Row],[TotalAtoms_all]],0)</f>
        <v>2.8473725465423091E-2</v>
      </c>
      <c r="AM17" s="2">
        <f>IFERROR(MainTbl[[#This Row],[C_total]]/MainTbl[[#This Row],[TotalAtoms_all]],0)</f>
        <v>0.24654976682827828</v>
      </c>
      <c r="AN17" s="2">
        <f>IFERROR(MainTbl[[#This Row],[C_from_solvents]]/MainTbl[[#This Row],[TotalAtoms_all]],0)</f>
        <v>0.24654976682827828</v>
      </c>
      <c r="AO17" s="2">
        <f>IFERROR(MainTbl[[#This Row],[C_from_salts]]/MainTbl[[#This Row],[TotalAtoms_all]],0)</f>
        <v>0</v>
      </c>
      <c r="AP17" s="2">
        <f>IFERROR(MainTbl[[#This Row],[F_total]]/MainTbl[[#This Row],[TotalAtoms_all]],0)</f>
        <v>0.27246207712773013</v>
      </c>
      <c r="AQ17" s="2">
        <f>IFERROR(MainTbl[[#This Row],[F_from_solvents]]/MainTbl[[#This Row],[TotalAtoms_all]],0)</f>
        <v>0.25822521439501855</v>
      </c>
      <c r="AR17" s="2">
        <f>IFERROR(MainTbl[[#This Row],[F_from_salts]]/MainTbl[[#This Row],[TotalAtoms_all]],0)</f>
        <v>1.4236862732711545E-2</v>
      </c>
      <c r="AS17" s="2">
        <f>IFERROR(MainTbl[[#This Row],[F_total]]/MainTbl[[#This Row],[O_total]],0)</f>
        <v>1.982944665150423</v>
      </c>
      <c r="AT17" s="2">
        <f>IFERROR(MainTbl[[#This Row],[F_total]]/MainTbl[[#This Row],[C_total]],0)</f>
        <v>1.1050997152939908</v>
      </c>
      <c r="AU17" s="2">
        <f>IFERROR(MainTbl[[#This Row],[O_total]]/MainTbl[[#This Row],[C_total]],0)</f>
        <v>0.55730234671483359</v>
      </c>
      <c r="AV17" s="2">
        <f>IFERROR((MainTbl[[#This Row],[TotalAtoms_all]]-(MainTbl[[#This Row],[C_total]]+MainTbl[[#This Row],[H_total]]+MainTbl[[#This Row],[Li_total]]))/MainTbl[[#This Row],[C_total]],0)</f>
        <v>1.7490186277991349</v>
      </c>
      <c r="AW17" t="str">
        <f>IFERROR(VLOOKUP(MainTbl[[#This Row],[salt_1_smiles]],SaltTbl[],MATCH("Salt",SaltTbl[#Headers],0),FALSE),"")</f>
        <v>LiFSI</v>
      </c>
      <c r="AX17" t="str">
        <f>IFERROR(VLOOKUP(MainTbl[[#This Row],[salt_2_smiles]],SaltTbl[],MATCH("Salt",SaltTbl[#Headers],0),FALSE),"")</f>
        <v/>
      </c>
      <c r="AY17" t="str">
        <f>IFERROR(VLOOKUP(MainTbl[[#This Row],[solvent_1_smiles]],SolvTbl[],MATCH("Solvent",SolvTbl[#Headers],0),FALSE),"")</f>
        <v>DME (C4H10O2)</v>
      </c>
      <c r="AZ17" t="str">
        <f>IFERROR(VLOOKUP(MainTbl[[#This Row],[solvent_2_smiles]],SolvTbl[],MATCH("Solvent",SolvTbl[#Headers],0),FALSE),"")</f>
        <v>2-[Bis(2,2,2-trifluoroethoxy)methoxy]-1,1,1-trifluoroethane</v>
      </c>
      <c r="BA17" t="str">
        <f>IFERROR(VLOOKUP(MainTbl[[#This Row],[solvent_3_smiles]],SolvTbl[],MATCH("Solvent",SolvTbl[#Headers],0),FALSE),"")</f>
        <v/>
      </c>
      <c r="BB17">
        <f>--(MainTbl[[#This Row],[solv_1_ratio]]&gt;0)+--(MainTbl[[#This Row],[solv_2_ratio]]&gt;0)+--(MainTbl[[#This Row],[solv_3_ratio]]&gt;0)</f>
        <v>2</v>
      </c>
      <c r="BC17" t="str">
        <f>IF(AND(MainTbl[[#This Row],[SaltName1]]&lt;&gt;"",MainTbl[[#This Row],[salt_1_conc]]&gt;0),TEXT(MainTbl[[#This Row],[salt_1_conc]],"0.###")&amp;" M "&amp;MainTbl[[#This Row],[SaltName1]],"")</f>
        <v>1. M LiFSI</v>
      </c>
      <c r="BD17" t="str">
        <f>IF(AND(MainTbl[[#This Row],[SaltName2]]&lt;&gt;"",MainTbl[[#This Row],[salt_2_conc]]&gt;0),TEXT(MainTbl[[#This Row],[salt_2_conc]],"0.###")&amp;" M "&amp;MainTbl[[#This Row],[SaltName2]],"")</f>
        <v/>
      </c>
      <c r="BE1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17" t="str">
        <f>IF(MainTbl[[#This Row],[SolvCount]]=1,MainTbl[[#This Row],[SolvName1]],IF(MainTbl[[#This Row],[solv_1_ratio]]&gt;0,MainTbl[[#This Row],[SolvName1]]&amp;" "&amp;TEXT(MainTbl[[#This Row],[solv_1_ratio]]*100,"0.##")&amp;"%",""))</f>
        <v>DME (C4H10O2) 16.67%</v>
      </c>
      <c r="BG17" t="str">
        <f>IF(MainTbl[[#This Row],[SolvCount]]=1,MainTbl[[#This Row],[SolvName2]],IF(MainTbl[[#This Row],[solv_2_ratio]]&gt;0,MainTbl[[#This Row],[SolvName2]]&amp;" "&amp;TEXT(MainTbl[[#This Row],[solv_2_ratio]]*100,"0.##")&amp;"%",""))</f>
        <v>2-[Bis(2,2,2-trifluoroethoxy)methoxy]-1,1,1-trifluoroethane 83.33%</v>
      </c>
      <c r="BH1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16.67% + 2-[Bis(2,2,2-trifluoroethoxy)methoxy]-1,1,1-trifluoroethane 83.33%</v>
      </c>
      <c r="BJ17" t="str">
        <f>TRIM(_xlfn.CONCAT(MainTbl[[#This Row],[Salt_text]]," ",MainTbl[[#This Row],[Solvent_text]]))</f>
        <v>1. M LiFSI DME (C4H10O2) 16.67% + 2-[Bis(2,2,2-trifluoroethoxy)methoxy]-1,1,1-trifluoroethane 83.33%</v>
      </c>
    </row>
    <row r="18" spans="1:62" x14ac:dyDescent="0.25">
      <c r="A18" t="s">
        <v>20</v>
      </c>
      <c r="B18" t="s">
        <v>18</v>
      </c>
      <c r="D18" t="s">
        <v>22</v>
      </c>
      <c r="E18" t="s">
        <v>23</v>
      </c>
      <c r="F18" t="s">
        <v>33</v>
      </c>
      <c r="G18">
        <v>0.5</v>
      </c>
      <c r="H18">
        <v>0.5</v>
      </c>
      <c r="I18">
        <v>0</v>
      </c>
      <c r="J18">
        <v>2</v>
      </c>
      <c r="K18">
        <v>1</v>
      </c>
      <c r="L18">
        <v>0.996</v>
      </c>
      <c r="M18">
        <f t="shared" si="0"/>
        <v>99.6</v>
      </c>
      <c r="N18">
        <f t="shared" si="1"/>
        <v>2.397940008672037</v>
      </c>
      <c r="O18">
        <f>IFERROR(MainTbl[[#This Row],[solv_1_ratio]]*VLOOKUP(MainTbl[[#This Row],[solvent_1_smiles]],SolvTbl[],13,FALSE),0)</f>
        <v>7.1546208050973297</v>
      </c>
      <c r="P18">
        <f>IFERROR(MainTbl[[#This Row],[solv_2_ratio]]*VLOOKUP(MainTbl[[#This Row],[solvent_2_smiles]],SolvTbl[],13,FALSE),0)</f>
        <v>4.8158011540168655</v>
      </c>
      <c r="Q18">
        <f>IFERROR(MainTbl[[#This Row],[solv_3_ratio]]*VLOOKUP(MainTbl[[#This Row],[solvent_3_smiles]],SolvTbl[],13,FALSE),0)</f>
        <v>0</v>
      </c>
      <c r="R18">
        <f>IFERROR(MainTbl[[#This Row],[salt_1_conc]],0)</f>
        <v>2</v>
      </c>
      <c r="S18">
        <f>IFERROR(MainTbl[[#This Row],[salt_2_conc]],0)</f>
        <v>1</v>
      </c>
      <c r="T1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23.940843918228389</v>
      </c>
      <c r="U1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12</v>
      </c>
      <c r="V18">
        <f>MainTbl[[#This Row],[O_from_solvents]]+MainTbl[[#This Row],[O_from_salts]]</f>
        <v>35.940843918228389</v>
      </c>
      <c r="W1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40.727067031359454</v>
      </c>
      <c r="X1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2</v>
      </c>
      <c r="Y18">
        <f>MainTbl[[#This Row],[C_from_solvents]]+MainTbl[[#This Row],[C_from_salts]]</f>
        <v>42.727067031359454</v>
      </c>
      <c r="Z1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10</v>
      </c>
      <c r="AB18">
        <f>MainTbl[[#This Row],[F_from_solvents]]+MainTbl[[#This Row],[F_from_salts]]</f>
        <v>10</v>
      </c>
      <c r="AC1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91.085736370752642</v>
      </c>
      <c r="AD1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8">
        <f>MainTbl[[#This Row],[H_from_solvents]]+MainTbl[[#This Row],[H_from_salts]]</f>
        <v>91.085736370752642</v>
      </c>
      <c r="AF1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</v>
      </c>
      <c r="AH18">
        <f>MainTbl[[#This Row],[Li_from_solvents]]+MainTbl[[#This Row],[Li_from_salts]]</f>
        <v>3</v>
      </c>
      <c r="AI1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191.75364732034046</v>
      </c>
      <c r="AJ18" s="2">
        <f>IFERROR(MainTbl[[#This Row],[O_total]]/MainTbl[[#This Row],[TotalAtoms_all]],0)</f>
        <v>0.1874323874433857</v>
      </c>
      <c r="AK18" s="2">
        <f>IFERROR(MainTbl[[#This Row],[O_from_solvents]]/MainTbl[[#This Row],[TotalAtoms_all]],0)</f>
        <v>0.12485209148712155</v>
      </c>
      <c r="AL18" s="2">
        <f>IFERROR(MainTbl[[#This Row],[O_from_salts]]/MainTbl[[#This Row],[TotalAtoms_all]],0)</f>
        <v>6.2580295956264131E-2</v>
      </c>
      <c r="AM18" s="2">
        <f>IFERROR(MainTbl[[#This Row],[C_total]]/MainTbl[[#This Row],[TotalAtoms_all]],0)</f>
        <v>0.22282270834713419</v>
      </c>
      <c r="AN18" s="2">
        <f>IFERROR(MainTbl[[#This Row],[C_from_solvents]]/MainTbl[[#This Row],[TotalAtoms_all]],0)</f>
        <v>0.21239265902109017</v>
      </c>
      <c r="AO18" s="2">
        <f>IFERROR(MainTbl[[#This Row],[C_from_salts]]/MainTbl[[#This Row],[TotalAtoms_all]],0)</f>
        <v>1.0430049326044022E-2</v>
      </c>
      <c r="AP18" s="2">
        <f>IFERROR(MainTbl[[#This Row],[F_total]]/MainTbl[[#This Row],[TotalAtoms_all]],0)</f>
        <v>5.215024663022011E-2</v>
      </c>
      <c r="AQ18" s="2">
        <f>IFERROR(MainTbl[[#This Row],[F_from_solvents]]/MainTbl[[#This Row],[TotalAtoms_all]],0)</f>
        <v>0</v>
      </c>
      <c r="AR18" s="2">
        <f>IFERROR(MainTbl[[#This Row],[F_from_salts]]/MainTbl[[#This Row],[TotalAtoms_all]],0)</f>
        <v>5.215024663022011E-2</v>
      </c>
      <c r="AS18" s="2">
        <f>IFERROR(MainTbl[[#This Row],[F_total]]/MainTbl[[#This Row],[O_total]],0)</f>
        <v>0.278234980312419</v>
      </c>
      <c r="AT18" s="2">
        <f>IFERROR(MainTbl[[#This Row],[F_total]]/MainTbl[[#This Row],[C_total]],0)</f>
        <v>0.23404367991513478</v>
      </c>
      <c r="AU18" s="2">
        <f>IFERROR(MainTbl[[#This Row],[O_total]]/MainTbl[[#This Row],[C_total]],0)</f>
        <v>0.8411727369877664</v>
      </c>
      <c r="AV18" s="2">
        <f>IFERROR((MainTbl[[#This Row],[TotalAtoms_all]]-(MainTbl[[#This Row],[C_total]]+MainTbl[[#This Row],[H_total]]+MainTbl[[#This Row],[Li_total]]))/MainTbl[[#This Row],[C_total]],0)</f>
        <v>1.2858557288265222</v>
      </c>
      <c r="AW18" t="str">
        <f>IFERROR(VLOOKUP(MainTbl[[#This Row],[salt_1_smiles]],SaltTbl[],MATCH("Salt",SaltTbl[#Headers],0),FALSE),"")</f>
        <v>LiFSI</v>
      </c>
      <c r="AX18" t="str">
        <f>IFERROR(VLOOKUP(MainTbl[[#This Row],[salt_2_smiles]],SaltTbl[],MATCH("Salt",SaltTbl[#Headers],0),FALSE),"")</f>
        <v>LiTFSI</v>
      </c>
      <c r="AY18" t="str">
        <f>IFERROR(VLOOKUP(MainTbl[[#This Row],[solvent_1_smiles]],SolvTbl[],MATCH("Solvent",SolvTbl[#Headers],0),FALSE),"")</f>
        <v>1,3-dioxolane (	C3H6O2)</v>
      </c>
      <c r="AZ18" t="str">
        <f>IFERROR(VLOOKUP(MainTbl[[#This Row],[solvent_2_smiles]],SolvTbl[],MATCH("Solvent",SolvTbl[#Headers],0),FALSE),"")</f>
        <v>DME (C4H10O2)</v>
      </c>
      <c r="BA18" t="str">
        <f>IFERROR(VLOOKUP(MainTbl[[#This Row],[solvent_3_smiles]],SolvTbl[],MATCH("Solvent",SolvTbl[#Headers],0),FALSE),"")</f>
        <v/>
      </c>
      <c r="BB18">
        <f>--(MainTbl[[#This Row],[solv_1_ratio]]&gt;0)+--(MainTbl[[#This Row],[solv_2_ratio]]&gt;0)+--(MainTbl[[#This Row],[solv_3_ratio]]&gt;0)</f>
        <v>2</v>
      </c>
      <c r="BC18" t="str">
        <f>IF(AND(MainTbl[[#This Row],[SaltName1]]&lt;&gt;"",MainTbl[[#This Row],[salt_1_conc]]&gt;0),TEXT(MainTbl[[#This Row],[salt_1_conc]],"0.###")&amp;" M "&amp;MainTbl[[#This Row],[SaltName1]],"")</f>
        <v>2. M LiFSI</v>
      </c>
      <c r="BD18" t="str">
        <f>IF(AND(MainTbl[[#This Row],[SaltName2]]&lt;&gt;"",MainTbl[[#This Row],[salt_2_conc]]&gt;0),TEXT(MainTbl[[#This Row],[salt_2_conc]],"0.###")&amp;" M "&amp;MainTbl[[#This Row],[SaltName2]],"")</f>
        <v>1. M LiTFSI</v>
      </c>
      <c r="BE1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2. M LiFSI + 1. M LiTFSI</v>
      </c>
      <c r="BF18" t="str">
        <f>IF(MainTbl[[#This Row],[SolvCount]]=1,MainTbl[[#This Row],[SolvName1]],IF(MainTbl[[#This Row],[solv_1_ratio]]&gt;0,MainTbl[[#This Row],[SolvName1]]&amp;" "&amp;TEXT(MainTbl[[#This Row],[solv_1_ratio]]*100,"0.##")&amp;"%",""))</f>
        <v>1,3-dioxolane (	C3H6O2) 50.%</v>
      </c>
      <c r="BG18" t="str">
        <f>IF(MainTbl[[#This Row],[SolvCount]]=1,MainTbl[[#This Row],[SolvName2]],IF(MainTbl[[#This Row],[solv_2_ratio]]&gt;0,MainTbl[[#This Row],[SolvName2]]&amp;" "&amp;TEXT(MainTbl[[#This Row],[solv_2_ratio]]*100,"0.##")&amp;"%",""))</f>
        <v>DME (C4H10O2) 50.%</v>
      </c>
      <c r="BH1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1,3-dioxolane (	C3H6O2) 50.% + DME (C4H10O2) 50.%</v>
      </c>
      <c r="BJ18" t="str">
        <f>TRIM(_xlfn.CONCAT(MainTbl[[#This Row],[Salt_text]]," ",MainTbl[[#This Row],[Solvent_text]]))</f>
        <v>2. M LiFSI + 1. M LiTFSI 1,3-dioxolane (	C3H6O2) 50.% + DME (C4H10O2) 50.%</v>
      </c>
    </row>
    <row r="19" spans="1:62" x14ac:dyDescent="0.25">
      <c r="A19" t="s">
        <v>34</v>
      </c>
      <c r="D19" t="s">
        <v>22</v>
      </c>
      <c r="G19">
        <v>1</v>
      </c>
      <c r="H19">
        <v>0</v>
      </c>
      <c r="I19">
        <v>0</v>
      </c>
      <c r="J19">
        <v>2.5</v>
      </c>
      <c r="K19">
        <v>0</v>
      </c>
      <c r="L19">
        <v>0.99</v>
      </c>
      <c r="M19">
        <f t="shared" si="0"/>
        <v>99</v>
      </c>
      <c r="N19">
        <f t="shared" si="1"/>
        <v>1.9999999999999996</v>
      </c>
      <c r="O19">
        <f>IFERROR(MainTbl[[#This Row],[solv_1_ratio]]*VLOOKUP(MainTbl[[#This Row],[solvent_1_smiles]],SolvTbl[],13,FALSE),0)</f>
        <v>11.640436359060271</v>
      </c>
      <c r="P19">
        <f>IFERROR(MainTbl[[#This Row],[solv_2_ratio]]*VLOOKUP(MainTbl[[#This Row],[solvent_2_smiles]],SolvTbl[],13,FALSE),0)</f>
        <v>0</v>
      </c>
      <c r="Q19">
        <f>IFERROR(MainTbl[[#This Row],[solv_3_ratio]]*VLOOKUP(MainTbl[[#This Row],[solvent_3_smiles]],SolvTbl[],13,FALSE),0)</f>
        <v>0</v>
      </c>
      <c r="R19">
        <f>IFERROR(MainTbl[[#This Row],[salt_1_conc]],0)</f>
        <v>2.5</v>
      </c>
      <c r="S19">
        <f>IFERROR(MainTbl[[#This Row],[salt_2_conc]],0)</f>
        <v>0</v>
      </c>
      <c r="T1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23.280872718120541</v>
      </c>
      <c r="U1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10</v>
      </c>
      <c r="V19">
        <f>MainTbl[[#This Row],[O_from_solvents]]+MainTbl[[#This Row],[O_from_salts]]</f>
        <v>33.280872718120541</v>
      </c>
      <c r="W1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23.280872718120541</v>
      </c>
      <c r="X1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9">
        <f>MainTbl[[#This Row],[C_from_solvents]]+MainTbl[[#This Row],[C_from_salts]]</f>
        <v>23.280872718120541</v>
      </c>
      <c r="Z1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11.640436359060271</v>
      </c>
      <c r="AA1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5</v>
      </c>
      <c r="AB19">
        <f>MainTbl[[#This Row],[F_from_solvents]]+MainTbl[[#This Row],[F_from_salts]]</f>
        <v>16.640436359060271</v>
      </c>
      <c r="AC1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69.842618154361617</v>
      </c>
      <c r="AD1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9">
        <f>MainTbl[[#This Row],[H_from_solvents]]+MainTbl[[#This Row],[H_from_salts]]</f>
        <v>69.842618154361617</v>
      </c>
      <c r="AF1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2.5</v>
      </c>
      <c r="AH19">
        <f>MainTbl[[#This Row],[Li_from_solvents]]+MainTbl[[#This Row],[Li_from_salts]]</f>
        <v>2.5</v>
      </c>
      <c r="AI1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176.32567266778352</v>
      </c>
      <c r="AJ19" s="2">
        <f>IFERROR(MainTbl[[#This Row],[O_total]]/MainTbl[[#This Row],[TotalAtoms_all]],0)</f>
        <v>0.18874660856008912</v>
      </c>
      <c r="AK19" s="2">
        <f>IFERROR(MainTbl[[#This Row],[O_from_solvents]]/MainTbl[[#This Row],[TotalAtoms_all]],0)</f>
        <v>0.1320333696499443</v>
      </c>
      <c r="AL19" s="2">
        <f>IFERROR(MainTbl[[#This Row],[O_from_salts]]/MainTbl[[#This Row],[TotalAtoms_all]],0)</f>
        <v>5.6713238910144827E-2</v>
      </c>
      <c r="AM19" s="2">
        <f>IFERROR(MainTbl[[#This Row],[C_total]]/MainTbl[[#This Row],[TotalAtoms_all]],0)</f>
        <v>0.1320333696499443</v>
      </c>
      <c r="AN19" s="2">
        <f>IFERROR(MainTbl[[#This Row],[C_from_solvents]]/MainTbl[[#This Row],[TotalAtoms_all]],0)</f>
        <v>0.1320333696499443</v>
      </c>
      <c r="AO19" s="2">
        <f>IFERROR(MainTbl[[#This Row],[C_from_salts]]/MainTbl[[#This Row],[TotalAtoms_all]],0)</f>
        <v>0</v>
      </c>
      <c r="AP19" s="2">
        <f>IFERROR(MainTbl[[#This Row],[F_total]]/MainTbl[[#This Row],[TotalAtoms_all]],0)</f>
        <v>9.4373304280044562E-2</v>
      </c>
      <c r="AQ19" s="2">
        <f>IFERROR(MainTbl[[#This Row],[F_from_solvents]]/MainTbl[[#This Row],[TotalAtoms_all]],0)</f>
        <v>6.6016684824972152E-2</v>
      </c>
      <c r="AR19" s="2">
        <f>IFERROR(MainTbl[[#This Row],[F_from_salts]]/MainTbl[[#This Row],[TotalAtoms_all]],0)</f>
        <v>2.8356619455072413E-2</v>
      </c>
      <c r="AS19" s="2">
        <f>IFERROR(MainTbl[[#This Row],[F_total]]/MainTbl[[#This Row],[O_total]],0)</f>
        <v>0.5</v>
      </c>
      <c r="AT19" s="2">
        <f>IFERROR(MainTbl[[#This Row],[F_total]]/MainTbl[[#This Row],[C_total]],0)</f>
        <v>0.7147685810810811</v>
      </c>
      <c r="AU19" s="2">
        <f>IFERROR(MainTbl[[#This Row],[O_total]]/MainTbl[[#This Row],[C_total]],0)</f>
        <v>1.4295371621621622</v>
      </c>
      <c r="AV19" s="2">
        <f>IFERROR((MainTbl[[#This Row],[TotalAtoms_all]]-(MainTbl[[#This Row],[C_total]]+MainTbl[[#This Row],[H_total]]+MainTbl[[#This Row],[Li_total]]))/MainTbl[[#This Row],[C_total]],0)</f>
        <v>3.4664586148648651</v>
      </c>
      <c r="AW19" t="str">
        <f>IFERROR(VLOOKUP(MainTbl[[#This Row],[salt_1_smiles]],SaltTbl[],MATCH("Salt",SaltTbl[#Headers],0),FALSE),"")</f>
        <v>LiFSI</v>
      </c>
      <c r="AX19" t="str">
        <f>IFERROR(VLOOKUP(MainTbl[[#This Row],[salt_2_smiles]],SaltTbl[],MATCH("Salt",SaltTbl[#Headers],0),FALSE),"")</f>
        <v/>
      </c>
      <c r="AY19" t="str">
        <f>IFERROR(VLOOKUP(MainTbl[[#This Row],[solvent_1_smiles]],SolvTbl[],MATCH("Solvent",SolvTbl[#Headers],0),FALSE),"")</f>
        <v>FSA</v>
      </c>
      <c r="AZ19" t="str">
        <f>IFERROR(VLOOKUP(MainTbl[[#This Row],[solvent_2_smiles]],SolvTbl[],MATCH("Solvent",SolvTbl[#Headers],0),FALSE),"")</f>
        <v/>
      </c>
      <c r="BA19" t="str">
        <f>IFERROR(VLOOKUP(MainTbl[[#This Row],[solvent_3_smiles]],SolvTbl[],MATCH("Solvent",SolvTbl[#Headers],0),FALSE),"")</f>
        <v/>
      </c>
      <c r="BB19">
        <f>--(MainTbl[[#This Row],[solv_1_ratio]]&gt;0)+--(MainTbl[[#This Row],[solv_2_ratio]]&gt;0)+--(MainTbl[[#This Row],[solv_3_ratio]]&gt;0)</f>
        <v>1</v>
      </c>
      <c r="BC19" t="str">
        <f>IF(AND(MainTbl[[#This Row],[SaltName1]]&lt;&gt;"",MainTbl[[#This Row],[salt_1_conc]]&gt;0),TEXT(MainTbl[[#This Row],[salt_1_conc]],"0.###")&amp;" M "&amp;MainTbl[[#This Row],[SaltName1]],"")</f>
        <v>2.5 M LiFSI</v>
      </c>
      <c r="BD19" t="str">
        <f>IF(AND(MainTbl[[#This Row],[SaltName2]]&lt;&gt;"",MainTbl[[#This Row],[salt_2_conc]]&gt;0),TEXT(MainTbl[[#This Row],[salt_2_conc]],"0.###")&amp;" M "&amp;MainTbl[[#This Row],[SaltName2]],"")</f>
        <v/>
      </c>
      <c r="BE1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2.5 M LiFSI</v>
      </c>
      <c r="BF19" t="str">
        <f>IF(MainTbl[[#This Row],[SolvCount]]=1,MainTbl[[#This Row],[SolvName1]],IF(MainTbl[[#This Row],[solv_1_ratio]]&gt;0,MainTbl[[#This Row],[SolvName1]]&amp;" "&amp;TEXT(MainTbl[[#This Row],[solv_1_ratio]]*100,"0.##")&amp;"%",""))</f>
        <v>FSA</v>
      </c>
      <c r="BG19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FSA</v>
      </c>
      <c r="BJ19" t="str">
        <f>TRIM(_xlfn.CONCAT(MainTbl[[#This Row],[Salt_text]]," ",MainTbl[[#This Row],[Solvent_text]]))</f>
        <v>2.5 M LiFSI FSA</v>
      </c>
    </row>
    <row r="20" spans="1:62" x14ac:dyDescent="0.25">
      <c r="A20" t="s">
        <v>35</v>
      </c>
      <c r="B20" t="s">
        <v>25</v>
      </c>
      <c r="D20" t="s">
        <v>23</v>
      </c>
      <c r="G20">
        <v>0.6875</v>
      </c>
      <c r="H20">
        <v>0.3125</v>
      </c>
      <c r="I20">
        <v>0</v>
      </c>
      <c r="J20">
        <v>1</v>
      </c>
      <c r="K20">
        <v>0</v>
      </c>
      <c r="L20">
        <v>0.99399999999999999</v>
      </c>
      <c r="M20">
        <f t="shared" si="0"/>
        <v>99.4</v>
      </c>
      <c r="N20">
        <f t="shared" si="1"/>
        <v>2.2218487496163561</v>
      </c>
      <c r="O20">
        <f>IFERROR(MainTbl[[#This Row],[solv_1_ratio]]*VLOOKUP(MainTbl[[#This Row],[solvent_1_smiles]],SolvTbl[],13,FALSE),0)</f>
        <v>13.162542017830175</v>
      </c>
      <c r="P20">
        <f>IFERROR(MainTbl[[#This Row],[solv_2_ratio]]*VLOOKUP(MainTbl[[#This Row],[solvent_2_smiles]],SolvTbl[],13,FALSE),0)</f>
        <v>6.4273961332784859</v>
      </c>
      <c r="Q20">
        <f>IFERROR(MainTbl[[#This Row],[solv_3_ratio]]*VLOOKUP(MainTbl[[#This Row],[solvent_3_smiles]],SolvTbl[],13,FALSE),0)</f>
        <v>0</v>
      </c>
      <c r="R20">
        <f>IFERROR(MainTbl[[#This Row],[salt_1_conc]],0)</f>
        <v>1</v>
      </c>
      <c r="S20">
        <f>IFERROR(MainTbl[[#This Row],[salt_2_conc]],0)</f>
        <v>0</v>
      </c>
      <c r="T2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0</v>
      </c>
      <c r="U2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20">
        <f>MainTbl[[#This Row],[O_from_solvents]]+MainTbl[[#This Row],[O_from_salts]]</f>
        <v>4</v>
      </c>
      <c r="W2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32.752480168938838</v>
      </c>
      <c r="X2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2</v>
      </c>
      <c r="Y20">
        <f>MainTbl[[#This Row],[C_from_solvents]]+MainTbl[[#This Row],[C_from_salts]]</f>
        <v>34.752480168938838</v>
      </c>
      <c r="Z2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6.4273961332784859</v>
      </c>
      <c r="AA2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20">
        <f>MainTbl[[#This Row],[F_from_solvents]]+MainTbl[[#This Row],[F_from_salts]]</f>
        <v>12.427396133278485</v>
      </c>
      <c r="AC2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58.769814453325978</v>
      </c>
      <c r="AD2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0">
        <f>MainTbl[[#This Row],[H_from_solvents]]+MainTbl[[#This Row],[H_from_salts]]</f>
        <v>58.769814453325978</v>
      </c>
      <c r="AF2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20">
        <f>MainTbl[[#This Row],[Li_from_solvents]]+MainTbl[[#This Row],[Li_from_salts]]</f>
        <v>1</v>
      </c>
      <c r="AI2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127.11223277337348</v>
      </c>
      <c r="AJ20" s="2">
        <f>IFERROR(MainTbl[[#This Row],[O_total]]/MainTbl[[#This Row],[TotalAtoms_all]],0)</f>
        <v>3.1468253784287942E-2</v>
      </c>
      <c r="AK20" s="2">
        <f>IFERROR(MainTbl[[#This Row],[O_from_solvents]]/MainTbl[[#This Row],[TotalAtoms_all]],0)</f>
        <v>0</v>
      </c>
      <c r="AL20" s="2">
        <f>IFERROR(MainTbl[[#This Row],[O_from_salts]]/MainTbl[[#This Row],[TotalAtoms_all]],0)</f>
        <v>3.1468253784287942E-2</v>
      </c>
      <c r="AM20" s="2">
        <f>IFERROR(MainTbl[[#This Row],[C_total]]/MainTbl[[#This Row],[TotalAtoms_all]],0)</f>
        <v>0.27339996639740033</v>
      </c>
      <c r="AN20" s="2">
        <f>IFERROR(MainTbl[[#This Row],[C_from_solvents]]/MainTbl[[#This Row],[TotalAtoms_all]],0)</f>
        <v>0.25766583950525634</v>
      </c>
      <c r="AO20" s="2">
        <f>IFERROR(MainTbl[[#This Row],[C_from_salts]]/MainTbl[[#This Row],[TotalAtoms_all]],0)</f>
        <v>1.5734126892143971E-2</v>
      </c>
      <c r="AP20" s="2">
        <f>IFERROR(MainTbl[[#This Row],[F_total]]/MainTbl[[#This Row],[TotalAtoms_all]],0)</f>
        <v>9.7767113849971513E-2</v>
      </c>
      <c r="AQ20" s="2">
        <f>IFERROR(MainTbl[[#This Row],[F_from_solvents]]/MainTbl[[#This Row],[TotalAtoms_all]],0)</f>
        <v>5.0564733173539607E-2</v>
      </c>
      <c r="AR20" s="2">
        <f>IFERROR(MainTbl[[#This Row],[F_from_salts]]/MainTbl[[#This Row],[TotalAtoms_all]],0)</f>
        <v>4.720238067643192E-2</v>
      </c>
      <c r="AS20" s="2">
        <f>IFERROR(MainTbl[[#This Row],[F_total]]/MainTbl[[#This Row],[O_total]],0)</f>
        <v>3.1068490333196213</v>
      </c>
      <c r="AT20" s="2">
        <f>IFERROR(MainTbl[[#This Row],[F_total]]/MainTbl[[#This Row],[C_total]],0)</f>
        <v>0.35759738795235324</v>
      </c>
      <c r="AU20" s="2">
        <f>IFERROR(MainTbl[[#This Row],[O_total]]/MainTbl[[#This Row],[C_total]],0)</f>
        <v>0.11509969880006235</v>
      </c>
      <c r="AV20" s="2">
        <f>IFERROR((MainTbl[[#This Row],[TotalAtoms_all]]-(MainTbl[[#This Row],[C_total]]+MainTbl[[#This Row],[H_total]]+MainTbl[[#This Row],[Li_total]]))/MainTbl[[#This Row],[C_total]],0)</f>
        <v>0.93777301627631715</v>
      </c>
      <c r="AW20" t="str">
        <f>IFERROR(VLOOKUP(MainTbl[[#This Row],[salt_1_smiles]],SaltTbl[],MATCH("Salt",SaltTbl[#Headers],0),FALSE),"")</f>
        <v>LiTFSI</v>
      </c>
      <c r="AX20" t="str">
        <f>IFERROR(VLOOKUP(MainTbl[[#This Row],[salt_2_smiles]],SaltTbl[],MATCH("Salt",SaltTbl[#Headers],0),FALSE),"")</f>
        <v/>
      </c>
      <c r="AY20" t="str">
        <f>IFERROR(VLOOKUP(MainTbl[[#This Row],[solvent_1_smiles]],SolvTbl[],MATCH("Solvent",SolvTbl[#Headers],0),FALSE),"")</f>
        <v>AN (CH3CN)</v>
      </c>
      <c r="AZ20" t="str">
        <f>IFERROR(VLOOKUP(MainTbl[[#This Row],[solvent_2_smiles]],SolvTbl[],MATCH("Solvent",SolvTbl[#Headers],0),FALSE),"")</f>
        <v>Fluoromethane</v>
      </c>
      <c r="BA20" t="str">
        <f>IFERROR(VLOOKUP(MainTbl[[#This Row],[solvent_3_smiles]],SolvTbl[],MATCH("Solvent",SolvTbl[#Headers],0),FALSE),"")</f>
        <v/>
      </c>
      <c r="BB20">
        <f>--(MainTbl[[#This Row],[solv_1_ratio]]&gt;0)+--(MainTbl[[#This Row],[solv_2_ratio]]&gt;0)+--(MainTbl[[#This Row],[solv_3_ratio]]&gt;0)</f>
        <v>2</v>
      </c>
      <c r="BC20" t="str">
        <f>IF(AND(MainTbl[[#This Row],[SaltName1]]&lt;&gt;"",MainTbl[[#This Row],[salt_1_conc]]&gt;0),TEXT(MainTbl[[#This Row],[salt_1_conc]],"0.###")&amp;" M "&amp;MainTbl[[#This Row],[SaltName1]],"")</f>
        <v>1. M LiTFSI</v>
      </c>
      <c r="BD20" t="str">
        <f>IF(AND(MainTbl[[#This Row],[SaltName2]]&lt;&gt;"",MainTbl[[#This Row],[salt_2_conc]]&gt;0),TEXT(MainTbl[[#This Row],[salt_2_conc]],"0.###")&amp;" M "&amp;MainTbl[[#This Row],[SaltName2]],"")</f>
        <v/>
      </c>
      <c r="BE2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LiTFSI</v>
      </c>
      <c r="BF20" t="str">
        <f>IF(MainTbl[[#This Row],[SolvCount]]=1,MainTbl[[#This Row],[SolvName1]],IF(MainTbl[[#This Row],[solv_1_ratio]]&gt;0,MainTbl[[#This Row],[SolvName1]]&amp;" "&amp;TEXT(MainTbl[[#This Row],[solv_1_ratio]]*100,"0.##")&amp;"%",""))</f>
        <v>AN (CH3CN) 68.75%</v>
      </c>
      <c r="BG20" t="str">
        <f>IF(MainTbl[[#This Row],[SolvCount]]=1,MainTbl[[#This Row],[SolvName2]],IF(MainTbl[[#This Row],[solv_2_ratio]]&gt;0,MainTbl[[#This Row],[SolvName2]]&amp;" "&amp;TEXT(MainTbl[[#This Row],[solv_2_ratio]]*100,"0.##")&amp;"%",""))</f>
        <v>Fluoromethane 31.25%</v>
      </c>
      <c r="BH2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AN (CH3CN) 68.75% + Fluoromethane 31.25%</v>
      </c>
      <c r="BJ20" t="str">
        <f>TRIM(_xlfn.CONCAT(MainTbl[[#This Row],[Salt_text]]," ",MainTbl[[#This Row],[Solvent_text]]))</f>
        <v>1. M LiTFSI AN (CH3CN) 68.75% + Fluoromethane 31.25%</v>
      </c>
    </row>
    <row r="21" spans="1:62" x14ac:dyDescent="0.25">
      <c r="A21" t="s">
        <v>36</v>
      </c>
      <c r="D21" t="s">
        <v>22</v>
      </c>
      <c r="G21">
        <v>1</v>
      </c>
      <c r="H21">
        <v>0</v>
      </c>
      <c r="I21">
        <v>0</v>
      </c>
      <c r="J21">
        <v>1</v>
      </c>
      <c r="K21">
        <v>0</v>
      </c>
      <c r="L21">
        <v>0.995</v>
      </c>
      <c r="M21">
        <f t="shared" si="0"/>
        <v>99.5</v>
      </c>
      <c r="N21">
        <f t="shared" si="1"/>
        <v>2.3010299956639808</v>
      </c>
      <c r="O21">
        <f>IFERROR(MainTbl[[#This Row],[solv_1_ratio]]*VLOOKUP(MainTbl[[#This Row],[solvent_1_smiles]],SolvTbl[],13,FALSE),0)</f>
        <v>6.3637319869569797</v>
      </c>
      <c r="P21">
        <f>IFERROR(MainTbl[[#This Row],[solv_2_ratio]]*VLOOKUP(MainTbl[[#This Row],[solvent_2_smiles]],SolvTbl[],13,FALSE),0)</f>
        <v>0</v>
      </c>
      <c r="Q21">
        <f>IFERROR(MainTbl[[#This Row],[solv_3_ratio]]*VLOOKUP(MainTbl[[#This Row],[solvent_3_smiles]],SolvTbl[],13,FALSE),0)</f>
        <v>0</v>
      </c>
      <c r="R21">
        <f>IFERROR(MainTbl[[#This Row],[salt_1_conc]],0)</f>
        <v>1</v>
      </c>
      <c r="S21">
        <f>IFERROR(MainTbl[[#This Row],[salt_2_conc]],0)</f>
        <v>0</v>
      </c>
      <c r="T2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12.727463973913959</v>
      </c>
      <c r="U2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21">
        <f>MainTbl[[#This Row],[O_from_solvents]]+MainTbl[[#This Row],[O_from_salts]]</f>
        <v>16.727463973913959</v>
      </c>
      <c r="W2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38.182391921741882</v>
      </c>
      <c r="X2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21">
        <f>MainTbl[[#This Row],[C_from_solvents]]+MainTbl[[#This Row],[C_from_salts]]</f>
        <v>38.182391921741882</v>
      </c>
      <c r="Z2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25.454927947827919</v>
      </c>
      <c r="AA2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21">
        <f>MainTbl[[#This Row],[F_from_solvents]]+MainTbl[[#This Row],[F_from_salts]]</f>
        <v>27.454927947827919</v>
      </c>
      <c r="AC2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63.637319869569794</v>
      </c>
      <c r="AD2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1">
        <f>MainTbl[[#This Row],[H_from_solvents]]+MainTbl[[#This Row],[H_from_salts]]</f>
        <v>63.637319869569794</v>
      </c>
      <c r="AF2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21">
        <f>MainTbl[[#This Row],[Li_from_solvents]]+MainTbl[[#This Row],[Li_from_salts]]</f>
        <v>1</v>
      </c>
      <c r="AI2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150.00210371305354</v>
      </c>
      <c r="AJ21" s="2">
        <f>IFERROR(MainTbl[[#This Row],[O_total]]/MainTbl[[#This Row],[TotalAtoms_all]],0)</f>
        <v>0.11151486252428001</v>
      </c>
      <c r="AK21" s="2">
        <f>IFERROR(MainTbl[[#This Row],[O_from_solvents]]/MainTbl[[#This Row],[TotalAtoms_all]],0)</f>
        <v>8.4848569845799998E-2</v>
      </c>
      <c r="AL21" s="2">
        <f>IFERROR(MainTbl[[#This Row],[O_from_salts]]/MainTbl[[#This Row],[TotalAtoms_all]],0)</f>
        <v>2.6666292678480016E-2</v>
      </c>
      <c r="AM21" s="2">
        <f>IFERROR(MainTbl[[#This Row],[C_total]]/MainTbl[[#This Row],[TotalAtoms_all]],0)</f>
        <v>0.25454570953740002</v>
      </c>
      <c r="AN21" s="2">
        <f>IFERROR(MainTbl[[#This Row],[C_from_solvents]]/MainTbl[[#This Row],[TotalAtoms_all]],0)</f>
        <v>0.25454570953740002</v>
      </c>
      <c r="AO21" s="2">
        <f>IFERROR(MainTbl[[#This Row],[C_from_salts]]/MainTbl[[#This Row],[TotalAtoms_all]],0)</f>
        <v>0</v>
      </c>
      <c r="AP21" s="2">
        <f>IFERROR(MainTbl[[#This Row],[F_total]]/MainTbl[[#This Row],[TotalAtoms_all]],0)</f>
        <v>0.18303028603084001</v>
      </c>
      <c r="AQ21" s="2">
        <f>IFERROR(MainTbl[[#This Row],[F_from_solvents]]/MainTbl[[#This Row],[TotalAtoms_all]],0)</f>
        <v>0.1696971396916</v>
      </c>
      <c r="AR21" s="2">
        <f>IFERROR(MainTbl[[#This Row],[F_from_salts]]/MainTbl[[#This Row],[TotalAtoms_all]],0)</f>
        <v>1.3333146339240008E-2</v>
      </c>
      <c r="AS21" s="2">
        <f>IFERROR(MainTbl[[#This Row],[F_total]]/MainTbl[[#This Row],[O_total]],0)</f>
        <v>1.6413084488266219</v>
      </c>
      <c r="AT21" s="2">
        <f>IFERROR(MainTbl[[#This Row],[F_total]]/MainTbl[[#This Row],[C_total]],0)</f>
        <v>0.71904683195592278</v>
      </c>
      <c r="AU21" s="2">
        <f>IFERROR(MainTbl[[#This Row],[O_total]]/MainTbl[[#This Row],[C_total]],0)</f>
        <v>0.43809366391184568</v>
      </c>
      <c r="AV21" s="2">
        <f>IFERROR((MainTbl[[#This Row],[TotalAtoms_all]]-(MainTbl[[#This Row],[C_total]]+MainTbl[[#This Row],[H_total]]+MainTbl[[#This Row],[Li_total]]))/MainTbl[[#This Row],[C_total]],0)</f>
        <v>1.2357107438016526</v>
      </c>
      <c r="AW21" t="str">
        <f>IFERROR(VLOOKUP(MainTbl[[#This Row],[salt_1_smiles]],SaltTbl[],MATCH("Salt",SaltTbl[#Headers],0),FALSE),"")</f>
        <v>LiFSI</v>
      </c>
      <c r="AX21" t="str">
        <f>IFERROR(VLOOKUP(MainTbl[[#This Row],[salt_2_smiles]],SaltTbl[],MATCH("Salt",SaltTbl[#Headers],0),FALSE),"")</f>
        <v/>
      </c>
      <c r="AY21" t="str">
        <f>IFERROR(VLOOKUP(MainTbl[[#This Row],[solvent_1_smiles]],SolvTbl[],MATCH("Solvent",SolvTbl[#Headers],0),FALSE),"")</f>
        <v>FDMB (C6H10F4O2)</v>
      </c>
      <c r="AZ21" t="str">
        <f>IFERROR(VLOOKUP(MainTbl[[#This Row],[solvent_2_smiles]],SolvTbl[],MATCH("Solvent",SolvTbl[#Headers],0),FALSE),"")</f>
        <v/>
      </c>
      <c r="BA21" t="str">
        <f>IFERROR(VLOOKUP(MainTbl[[#This Row],[solvent_3_smiles]],SolvTbl[],MATCH("Solvent",SolvTbl[#Headers],0),FALSE),"")</f>
        <v/>
      </c>
      <c r="BB21">
        <f>--(MainTbl[[#This Row],[solv_1_ratio]]&gt;0)+--(MainTbl[[#This Row],[solv_2_ratio]]&gt;0)+--(MainTbl[[#This Row],[solv_3_ratio]]&gt;0)</f>
        <v>1</v>
      </c>
      <c r="BC21" t="str">
        <f>IF(AND(MainTbl[[#This Row],[SaltName1]]&lt;&gt;"",MainTbl[[#This Row],[salt_1_conc]]&gt;0),TEXT(MainTbl[[#This Row],[salt_1_conc]],"0.###")&amp;" M "&amp;MainTbl[[#This Row],[SaltName1]],"")</f>
        <v>1. M LiFSI</v>
      </c>
      <c r="BD21" t="str">
        <f>IF(AND(MainTbl[[#This Row],[SaltName2]]&lt;&gt;"",MainTbl[[#This Row],[salt_2_conc]]&gt;0),TEXT(MainTbl[[#This Row],[salt_2_conc]],"0.###")&amp;" M "&amp;MainTbl[[#This Row],[SaltName2]],"")</f>
        <v/>
      </c>
      <c r="BE2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21" t="str">
        <f>IF(MainTbl[[#This Row],[SolvCount]]=1,MainTbl[[#This Row],[SolvName1]],IF(MainTbl[[#This Row],[solv_1_ratio]]&gt;0,MainTbl[[#This Row],[SolvName1]]&amp;" "&amp;TEXT(MainTbl[[#This Row],[solv_1_ratio]]*100,"0.##")&amp;"%",""))</f>
        <v>FDMB (C6H10F4O2)</v>
      </c>
      <c r="BG21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2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FDMB (C6H10F4O2)</v>
      </c>
      <c r="BJ21" t="str">
        <f>TRIM(_xlfn.CONCAT(MainTbl[[#This Row],[Salt_text]]," ",MainTbl[[#This Row],[Solvent_text]]))</f>
        <v>1. M LiFSI FDMB (C6H10F4O2)</v>
      </c>
    </row>
    <row r="22" spans="1:62" x14ac:dyDescent="0.25">
      <c r="A22" t="s">
        <v>37</v>
      </c>
      <c r="D22" t="s">
        <v>22</v>
      </c>
      <c r="G22">
        <v>1</v>
      </c>
      <c r="H22">
        <v>0</v>
      </c>
      <c r="I22">
        <v>0</v>
      </c>
      <c r="J22">
        <v>1</v>
      </c>
      <c r="K22">
        <v>0</v>
      </c>
      <c r="L22">
        <v>0.99</v>
      </c>
      <c r="M22">
        <f t="shared" si="0"/>
        <v>99</v>
      </c>
      <c r="N22">
        <f t="shared" si="1"/>
        <v>1.9999999999999996</v>
      </c>
      <c r="O22">
        <f>IFERROR(MainTbl[[#This Row],[solv_1_ratio]]*VLOOKUP(MainTbl[[#This Row],[solvent_1_smiles]],SolvTbl[],13,FALSE),0)</f>
        <v>6.2863965302989699</v>
      </c>
      <c r="P22">
        <f>IFERROR(MainTbl[[#This Row],[solv_2_ratio]]*VLOOKUP(MainTbl[[#This Row],[solvent_2_smiles]],SolvTbl[],13,FALSE),0)</f>
        <v>0</v>
      </c>
      <c r="Q22">
        <f>IFERROR(MainTbl[[#This Row],[solv_3_ratio]]*VLOOKUP(MainTbl[[#This Row],[solvent_3_smiles]],SolvTbl[],13,FALSE),0)</f>
        <v>0</v>
      </c>
      <c r="R22">
        <f>IFERROR(MainTbl[[#This Row],[salt_1_conc]],0)</f>
        <v>1</v>
      </c>
      <c r="S22">
        <f>IFERROR(MainTbl[[#This Row],[salt_2_conc]],0)</f>
        <v>0</v>
      </c>
      <c r="T2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12.57279306059794</v>
      </c>
      <c r="U2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22">
        <f>MainTbl[[#This Row],[O_from_solvents]]+MainTbl[[#This Row],[O_from_salts]]</f>
        <v>16.572793060597938</v>
      </c>
      <c r="W2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31.431982651494849</v>
      </c>
      <c r="X2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22">
        <f>MainTbl[[#This Row],[C_from_solvents]]+MainTbl[[#This Row],[C_from_salts]]</f>
        <v>31.431982651494849</v>
      </c>
      <c r="Z2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18.859189590896911</v>
      </c>
      <c r="AA2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22">
        <f>MainTbl[[#This Row],[F_from_solvents]]+MainTbl[[#This Row],[F_from_salts]]</f>
        <v>20.859189590896911</v>
      </c>
      <c r="AC2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62.863965302989698</v>
      </c>
      <c r="AD2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2">
        <f>MainTbl[[#This Row],[H_from_solvents]]+MainTbl[[#This Row],[H_from_salts]]</f>
        <v>62.863965302989698</v>
      </c>
      <c r="AF2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22">
        <f>MainTbl[[#This Row],[Li_from_solvents]]+MainTbl[[#This Row],[Li_from_salts]]</f>
        <v>1</v>
      </c>
      <c r="AI2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148.30072366657734</v>
      </c>
      <c r="AJ22" s="2">
        <f>IFERROR(MainTbl[[#This Row],[O_total]]/MainTbl[[#This Row],[TotalAtoms_all]],0)</f>
        <v>0.11175126223833096</v>
      </c>
      <c r="AK22" s="2">
        <f>IFERROR(MainTbl[[#This Row],[O_from_solvents]]/MainTbl[[#This Row],[TotalAtoms_all]],0)</f>
        <v>8.4779040518137949E-2</v>
      </c>
      <c r="AL22" s="2">
        <f>IFERROR(MainTbl[[#This Row],[O_from_salts]]/MainTbl[[#This Row],[TotalAtoms_all]],0)</f>
        <v>2.6972221720193017E-2</v>
      </c>
      <c r="AM22" s="2">
        <f>IFERROR(MainTbl[[#This Row],[C_total]]/MainTbl[[#This Row],[TotalAtoms_all]],0)</f>
        <v>0.21194760129534487</v>
      </c>
      <c r="AN22" s="2">
        <f>IFERROR(MainTbl[[#This Row],[C_from_solvents]]/MainTbl[[#This Row],[TotalAtoms_all]],0)</f>
        <v>0.21194760129534487</v>
      </c>
      <c r="AO22" s="2">
        <f>IFERROR(MainTbl[[#This Row],[C_from_salts]]/MainTbl[[#This Row],[TotalAtoms_all]],0)</f>
        <v>0</v>
      </c>
      <c r="AP22" s="2">
        <f>IFERROR(MainTbl[[#This Row],[F_total]]/MainTbl[[#This Row],[TotalAtoms_all]],0)</f>
        <v>0.14065467163730344</v>
      </c>
      <c r="AQ22" s="2">
        <f>IFERROR(MainTbl[[#This Row],[F_from_solvents]]/MainTbl[[#This Row],[TotalAtoms_all]],0)</f>
        <v>0.12716856077720692</v>
      </c>
      <c r="AR22" s="2">
        <f>IFERROR(MainTbl[[#This Row],[F_from_salts]]/MainTbl[[#This Row],[TotalAtoms_all]],0)</f>
        <v>1.3486110860096509E-2</v>
      </c>
      <c r="AS22" s="2">
        <f>IFERROR(MainTbl[[#This Row],[F_total]]/MainTbl[[#This Row],[O_total]],0)</f>
        <v>1.2586405631582973</v>
      </c>
      <c r="AT22" s="2">
        <f>IFERROR(MainTbl[[#This Row],[F_total]]/MainTbl[[#This Row],[C_total]],0)</f>
        <v>0.66362945736434109</v>
      </c>
      <c r="AU22" s="2">
        <f>IFERROR(MainTbl[[#This Row],[O_total]]/MainTbl[[#This Row],[C_total]],0)</f>
        <v>0.52725891472868214</v>
      </c>
      <c r="AV22" s="2">
        <f>IFERROR((MainTbl[[#This Row],[TotalAtoms_all]]-(MainTbl[[#This Row],[C_total]]+MainTbl[[#This Row],[H_total]]+MainTbl[[#This Row],[Li_total]]))/MainTbl[[#This Row],[C_total]],0)</f>
        <v>1.686332558139535</v>
      </c>
      <c r="AW22" t="str">
        <f>IFERROR(VLOOKUP(MainTbl[[#This Row],[salt_1_smiles]],SaltTbl[],MATCH("Salt",SaltTbl[#Headers],0),FALSE),"")</f>
        <v>LiFSI</v>
      </c>
      <c r="AX22" t="str">
        <f>IFERROR(VLOOKUP(MainTbl[[#This Row],[salt_2_smiles]],SaltTbl[],MATCH("Salt",SaltTbl[#Headers],0),FALSE),"")</f>
        <v/>
      </c>
      <c r="AY22" t="str">
        <f>IFERROR(VLOOKUP(MainTbl[[#This Row],[solvent_1_smiles]],SolvTbl[],MATCH("Solvent",SolvTbl[#Headers],0),FALSE),"")</f>
        <v>N,N-Diethyl-1,1,1-trifluoromethanesulfonamide</v>
      </c>
      <c r="AZ22" t="str">
        <f>IFERROR(VLOOKUP(MainTbl[[#This Row],[solvent_2_smiles]],SolvTbl[],MATCH("Solvent",SolvTbl[#Headers],0),FALSE),"")</f>
        <v/>
      </c>
      <c r="BA22" t="str">
        <f>IFERROR(VLOOKUP(MainTbl[[#This Row],[solvent_3_smiles]],SolvTbl[],MATCH("Solvent",SolvTbl[#Headers],0),FALSE),"")</f>
        <v/>
      </c>
      <c r="BB22">
        <f>--(MainTbl[[#This Row],[solv_1_ratio]]&gt;0)+--(MainTbl[[#This Row],[solv_2_ratio]]&gt;0)+--(MainTbl[[#This Row],[solv_3_ratio]]&gt;0)</f>
        <v>1</v>
      </c>
      <c r="BC22" t="str">
        <f>IF(AND(MainTbl[[#This Row],[SaltName1]]&lt;&gt;"",MainTbl[[#This Row],[salt_1_conc]]&gt;0),TEXT(MainTbl[[#This Row],[salt_1_conc]],"0.###")&amp;" M "&amp;MainTbl[[#This Row],[SaltName1]],"")</f>
        <v>1. M LiFSI</v>
      </c>
      <c r="BD22" t="str">
        <f>IF(AND(MainTbl[[#This Row],[SaltName2]]&lt;&gt;"",MainTbl[[#This Row],[salt_2_conc]]&gt;0),TEXT(MainTbl[[#This Row],[salt_2_conc]],"0.###")&amp;" M "&amp;MainTbl[[#This Row],[SaltName2]],"")</f>
        <v/>
      </c>
      <c r="BE2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22" t="str">
        <f>IF(MainTbl[[#This Row],[SolvCount]]=1,MainTbl[[#This Row],[SolvName1]],IF(MainTbl[[#This Row],[solv_1_ratio]]&gt;0,MainTbl[[#This Row],[SolvName1]]&amp;" "&amp;TEXT(MainTbl[[#This Row],[solv_1_ratio]]*100,"0.##")&amp;"%",""))</f>
        <v>N,N-Diethyl-1,1,1-trifluoromethanesulfonamide</v>
      </c>
      <c r="BG22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2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N,N-Diethyl-1,1,1-trifluoromethanesulfonamide</v>
      </c>
      <c r="BJ22" t="str">
        <f>TRIM(_xlfn.CONCAT(MainTbl[[#This Row],[Salt_text]]," ",MainTbl[[#This Row],[Solvent_text]]))</f>
        <v>1. M LiFSI N,N-Diethyl-1,1,1-trifluoromethanesulfonamide</v>
      </c>
    </row>
    <row r="23" spans="1:62" x14ac:dyDescent="0.25">
      <c r="A23" t="s">
        <v>19</v>
      </c>
      <c r="B23" t="s">
        <v>28</v>
      </c>
      <c r="D23" t="s">
        <v>13</v>
      </c>
      <c r="G23">
        <v>0.27027026999999998</v>
      </c>
      <c r="H23">
        <v>0.72972972999999997</v>
      </c>
      <c r="I23">
        <v>0</v>
      </c>
      <c r="J23">
        <v>1</v>
      </c>
      <c r="K23">
        <v>0</v>
      </c>
      <c r="L23">
        <v>0.86099999999999999</v>
      </c>
      <c r="M23">
        <f t="shared" si="0"/>
        <v>86.1</v>
      </c>
      <c r="N23">
        <f t="shared" si="1"/>
        <v>0.85698519974590492</v>
      </c>
      <c r="O23">
        <f>IFERROR(MainTbl[[#This Row],[solv_1_ratio]]*VLOOKUP(MainTbl[[#This Row],[solvent_1_smiles]],SolvTbl[],13,FALSE),0)</f>
        <v>4.0511997955985555</v>
      </c>
      <c r="P23">
        <f>IFERROR(MainTbl[[#This Row],[solv_2_ratio]]*VLOOKUP(MainTbl[[#This Row],[solvent_2_smiles]],SolvTbl[],13,FALSE),0)</f>
        <v>6.0229110873613818</v>
      </c>
      <c r="Q23">
        <f>IFERROR(MainTbl[[#This Row],[solv_3_ratio]]*VLOOKUP(MainTbl[[#This Row],[solvent_3_smiles]],SolvTbl[],13,FALSE),0)</f>
        <v>0</v>
      </c>
      <c r="R23">
        <f>IFERROR(MainTbl[[#This Row],[salt_1_conc]],0)</f>
        <v>1</v>
      </c>
      <c r="S23">
        <f>IFERROR(MainTbl[[#This Row],[salt_2_conc]],0)</f>
        <v>0</v>
      </c>
      <c r="T2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30.22233264887981</v>
      </c>
      <c r="U2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23">
        <f>MainTbl[[#This Row],[O_from_solvents]]+MainTbl[[#This Row],[O_from_salts]]</f>
        <v>34.222332648879814</v>
      </c>
      <c r="W2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42.268154823602572</v>
      </c>
      <c r="X2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23">
        <f>MainTbl[[#This Row],[C_from_solvents]]+MainTbl[[#This Row],[C_from_salts]]</f>
        <v>42.268154823602572</v>
      </c>
      <c r="Z2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2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0</v>
      </c>
      <c r="AB23">
        <f>MainTbl[[#This Row],[F_from_solvents]]+MainTbl[[#This Row],[F_from_salts]]</f>
        <v>0</v>
      </c>
      <c r="AC2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76.433910056008045</v>
      </c>
      <c r="AD2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3">
        <f>MainTbl[[#This Row],[H_from_solvents]]+MainTbl[[#This Row],[H_from_salts]]</f>
        <v>76.433910056008045</v>
      </c>
      <c r="AF2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23">
        <f>MainTbl[[#This Row],[Li_from_solvents]]+MainTbl[[#This Row],[Li_from_salts]]</f>
        <v>1</v>
      </c>
      <c r="AI2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154.92439752849043</v>
      </c>
      <c r="AJ23" s="2">
        <f>IFERROR(MainTbl[[#This Row],[O_total]]/MainTbl[[#This Row],[TotalAtoms_all]],0)</f>
        <v>0.22089698714230185</v>
      </c>
      <c r="AK23" s="2">
        <f>IFERROR(MainTbl[[#This Row],[O_from_solvents]]/MainTbl[[#This Row],[TotalAtoms_all]],0)</f>
        <v>0.19507794208670043</v>
      </c>
      <c r="AL23" s="2">
        <f>IFERROR(MainTbl[[#This Row],[O_from_salts]]/MainTbl[[#This Row],[TotalAtoms_all]],0)</f>
        <v>2.5819045055601422E-2</v>
      </c>
      <c r="AM23" s="2">
        <f>IFERROR(MainTbl[[#This Row],[C_total]]/MainTbl[[#This Row],[TotalAtoms_all]],0)</f>
        <v>0.27283084845193284</v>
      </c>
      <c r="AN23" s="2">
        <f>IFERROR(MainTbl[[#This Row],[C_from_solvents]]/MainTbl[[#This Row],[TotalAtoms_all]],0)</f>
        <v>0.27283084845193284</v>
      </c>
      <c r="AO23" s="2">
        <f>IFERROR(MainTbl[[#This Row],[C_from_salts]]/MainTbl[[#This Row],[TotalAtoms_all]],0)</f>
        <v>0</v>
      </c>
      <c r="AP23" s="2">
        <f>IFERROR(MainTbl[[#This Row],[F_total]]/MainTbl[[#This Row],[TotalAtoms_all]],0)</f>
        <v>0</v>
      </c>
      <c r="AQ23" s="2">
        <f>IFERROR(MainTbl[[#This Row],[F_from_solvents]]/MainTbl[[#This Row],[TotalAtoms_all]],0)</f>
        <v>0</v>
      </c>
      <c r="AR23" s="2">
        <f>IFERROR(MainTbl[[#This Row],[F_from_salts]]/MainTbl[[#This Row],[TotalAtoms_all]],0)</f>
        <v>0</v>
      </c>
      <c r="AS23" s="2">
        <f>IFERROR(MainTbl[[#This Row],[F_total]]/MainTbl[[#This Row],[O_total]],0)</f>
        <v>0</v>
      </c>
      <c r="AT23" s="2">
        <f>IFERROR(MainTbl[[#This Row],[F_total]]/MainTbl[[#This Row],[C_total]],0)</f>
        <v>0</v>
      </c>
      <c r="AU23" s="2">
        <f>IFERROR(MainTbl[[#This Row],[O_total]]/MainTbl[[#This Row],[C_total]],0)</f>
        <v>0.80964813325066265</v>
      </c>
      <c r="AV23" s="2">
        <f>IFERROR((MainTbl[[#This Row],[TotalAtoms_all]]-(MainTbl[[#This Row],[C_total]]+MainTbl[[#This Row],[H_total]]+MainTbl[[#This Row],[Li_total]]))/MainTbl[[#This Row],[C_total]],0)</f>
        <v>0.833306606258848</v>
      </c>
      <c r="AW23" t="str">
        <f>IFERROR(VLOOKUP(MainTbl[[#This Row],[salt_1_smiles]],SaltTbl[],MATCH("Salt",SaltTbl[#Headers],0),FALSE),"")</f>
        <v>LiClO4</v>
      </c>
      <c r="AX23" t="str">
        <f>IFERROR(VLOOKUP(MainTbl[[#This Row],[salt_2_smiles]],SaltTbl[],MATCH("Salt",SaltTbl[#Headers],0),FALSE),"")</f>
        <v/>
      </c>
      <c r="AY23" t="str">
        <f>IFERROR(VLOOKUP(MainTbl[[#This Row],[solvent_1_smiles]],SolvTbl[],MATCH("Solvent",SolvTbl[#Headers],0),FALSE),"")</f>
        <v>Ethylene carbonate</v>
      </c>
      <c r="AZ23" t="str">
        <f>IFERROR(VLOOKUP(MainTbl[[#This Row],[solvent_2_smiles]],SolvTbl[],MATCH("Solvent",SolvTbl[#Headers],0),FALSE),"")</f>
        <v>Diethyl Carbonate</v>
      </c>
      <c r="BA23" t="str">
        <f>IFERROR(VLOOKUP(MainTbl[[#This Row],[solvent_3_smiles]],SolvTbl[],MATCH("Solvent",SolvTbl[#Headers],0),FALSE),"")</f>
        <v/>
      </c>
      <c r="BB23">
        <f>--(MainTbl[[#This Row],[solv_1_ratio]]&gt;0)+--(MainTbl[[#This Row],[solv_2_ratio]]&gt;0)+--(MainTbl[[#This Row],[solv_3_ratio]]&gt;0)</f>
        <v>2</v>
      </c>
      <c r="BC23" t="str">
        <f>IF(AND(MainTbl[[#This Row],[SaltName1]]&lt;&gt;"",MainTbl[[#This Row],[salt_1_conc]]&gt;0),TEXT(MainTbl[[#This Row],[salt_1_conc]],"0.###")&amp;" M "&amp;MainTbl[[#This Row],[SaltName1]],"")</f>
        <v>1. M LiClO4</v>
      </c>
      <c r="BD23" t="str">
        <f>IF(AND(MainTbl[[#This Row],[SaltName2]]&lt;&gt;"",MainTbl[[#This Row],[salt_2_conc]]&gt;0),TEXT(MainTbl[[#This Row],[salt_2_conc]],"0.###")&amp;" M "&amp;MainTbl[[#This Row],[SaltName2]],"")</f>
        <v/>
      </c>
      <c r="BE2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LiClO4</v>
      </c>
      <c r="BF23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27.03%</v>
      </c>
      <c r="BG23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72.97%</v>
      </c>
      <c r="BH2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27.03% + Diethyl Carbonate 72.97%</v>
      </c>
      <c r="BJ23" t="str">
        <f>TRIM(_xlfn.CONCAT(MainTbl[[#This Row],[Salt_text]]," ",MainTbl[[#This Row],[Solvent_text]]))</f>
        <v>1. M LiClO4 Ethylene carbonate 27.03% + Diethyl Carbonate 72.97%</v>
      </c>
    </row>
    <row r="24" spans="1:62" x14ac:dyDescent="0.25">
      <c r="A24" t="s">
        <v>20</v>
      </c>
      <c r="D24" t="s">
        <v>13</v>
      </c>
      <c r="G24">
        <v>1</v>
      </c>
      <c r="H24">
        <v>0</v>
      </c>
      <c r="I24">
        <v>0</v>
      </c>
      <c r="J24">
        <v>1</v>
      </c>
      <c r="K24">
        <v>0</v>
      </c>
      <c r="L24">
        <v>0.93</v>
      </c>
      <c r="M24">
        <f t="shared" si="0"/>
        <v>93</v>
      </c>
      <c r="N24">
        <f t="shared" si="1"/>
        <v>1.1549019599857435</v>
      </c>
      <c r="O24">
        <f>IFERROR(MainTbl[[#This Row],[solv_1_ratio]]*VLOOKUP(MainTbl[[#This Row],[solvent_1_smiles]],SolvTbl[],13,FALSE),0)</f>
        <v>14.309241610194659</v>
      </c>
      <c r="P24">
        <f>IFERROR(MainTbl[[#This Row],[solv_2_ratio]]*VLOOKUP(MainTbl[[#This Row],[solvent_2_smiles]],SolvTbl[],13,FALSE),0)</f>
        <v>0</v>
      </c>
      <c r="Q24">
        <f>IFERROR(MainTbl[[#This Row],[solv_3_ratio]]*VLOOKUP(MainTbl[[#This Row],[solvent_3_smiles]],SolvTbl[],13,FALSE),0)</f>
        <v>0</v>
      </c>
      <c r="R24">
        <f>IFERROR(MainTbl[[#This Row],[salt_1_conc]],0)</f>
        <v>1</v>
      </c>
      <c r="S24">
        <f>IFERROR(MainTbl[[#This Row],[salt_2_conc]],0)</f>
        <v>0</v>
      </c>
      <c r="T2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28.618483220389319</v>
      </c>
      <c r="U2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24">
        <f>MainTbl[[#This Row],[O_from_solvents]]+MainTbl[[#This Row],[O_from_salts]]</f>
        <v>32.618483220389322</v>
      </c>
      <c r="W2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42.927724830583976</v>
      </c>
      <c r="X2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24">
        <f>MainTbl[[#This Row],[C_from_solvents]]+MainTbl[[#This Row],[C_from_salts]]</f>
        <v>42.927724830583976</v>
      </c>
      <c r="Z2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2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0</v>
      </c>
      <c r="AB24">
        <f>MainTbl[[#This Row],[F_from_solvents]]+MainTbl[[#This Row],[F_from_salts]]</f>
        <v>0</v>
      </c>
      <c r="AC2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85.855449661167953</v>
      </c>
      <c r="AD2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4">
        <f>MainTbl[[#This Row],[H_from_solvents]]+MainTbl[[#This Row],[H_from_salts]]</f>
        <v>85.855449661167953</v>
      </c>
      <c r="AF2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24">
        <f>MainTbl[[#This Row],[Li_from_solvents]]+MainTbl[[#This Row],[Li_from_salts]]</f>
        <v>1</v>
      </c>
      <c r="AI2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163.40165771214126</v>
      </c>
      <c r="AJ24" s="2">
        <f>IFERROR(MainTbl[[#This Row],[O_total]]/MainTbl[[#This Row],[TotalAtoms_all]],0)</f>
        <v>0.19962149513716754</v>
      </c>
      <c r="AK24" s="2">
        <f>IFERROR(MainTbl[[#This Row],[O_from_solvents]]/MainTbl[[#This Row],[TotalAtoms_all]],0)</f>
        <v>0.17514193932356217</v>
      </c>
      <c r="AL24" s="2">
        <f>IFERROR(MainTbl[[#This Row],[O_from_salts]]/MainTbl[[#This Row],[TotalAtoms_all]],0)</f>
        <v>2.4479555813605357E-2</v>
      </c>
      <c r="AM24" s="2">
        <f>IFERROR(MainTbl[[#This Row],[C_total]]/MainTbl[[#This Row],[TotalAtoms_all]],0)</f>
        <v>0.26271290898534322</v>
      </c>
      <c r="AN24" s="2">
        <f>IFERROR(MainTbl[[#This Row],[C_from_solvents]]/MainTbl[[#This Row],[TotalAtoms_all]],0)</f>
        <v>0.26271290898534322</v>
      </c>
      <c r="AO24" s="2">
        <f>IFERROR(MainTbl[[#This Row],[C_from_salts]]/MainTbl[[#This Row],[TotalAtoms_all]],0)</f>
        <v>0</v>
      </c>
      <c r="AP24" s="2">
        <f>IFERROR(MainTbl[[#This Row],[F_total]]/MainTbl[[#This Row],[TotalAtoms_all]],0)</f>
        <v>0</v>
      </c>
      <c r="AQ24" s="2">
        <f>IFERROR(MainTbl[[#This Row],[F_from_solvents]]/MainTbl[[#This Row],[TotalAtoms_all]],0)</f>
        <v>0</v>
      </c>
      <c r="AR24" s="2">
        <f>IFERROR(MainTbl[[#This Row],[F_from_salts]]/MainTbl[[#This Row],[TotalAtoms_all]],0)</f>
        <v>0</v>
      </c>
      <c r="AS24" s="2">
        <f>IFERROR(MainTbl[[#This Row],[F_total]]/MainTbl[[#This Row],[O_total]],0)</f>
        <v>0</v>
      </c>
      <c r="AT24" s="2">
        <f>IFERROR(MainTbl[[#This Row],[F_total]]/MainTbl[[#This Row],[C_total]],0)</f>
        <v>0</v>
      </c>
      <c r="AU24" s="2">
        <f>IFERROR(MainTbl[[#This Row],[O_total]]/MainTbl[[#This Row],[C_total]],0)</f>
        <v>0.7598465408805033</v>
      </c>
      <c r="AV24" s="2">
        <f>IFERROR((MainTbl[[#This Row],[TotalAtoms_all]]-(MainTbl[[#This Row],[C_total]]+MainTbl[[#This Row],[H_total]]+MainTbl[[#This Row],[Li_total]]))/MainTbl[[#This Row],[C_total]],0)</f>
        <v>0.78314150943396243</v>
      </c>
      <c r="AW24" t="str">
        <f>IFERROR(VLOOKUP(MainTbl[[#This Row],[salt_1_smiles]],SaltTbl[],MATCH("Salt",SaltTbl[#Headers],0),FALSE),"")</f>
        <v>LiClO4</v>
      </c>
      <c r="AX24" t="str">
        <f>IFERROR(VLOOKUP(MainTbl[[#This Row],[salt_2_smiles]],SaltTbl[],MATCH("Salt",SaltTbl[#Headers],0),FALSE),"")</f>
        <v/>
      </c>
      <c r="AY24" t="str">
        <f>IFERROR(VLOOKUP(MainTbl[[#This Row],[solvent_1_smiles]],SolvTbl[],MATCH("Solvent",SolvTbl[#Headers],0),FALSE),"")</f>
        <v>1,3-dioxolane (	C3H6O2)</v>
      </c>
      <c r="AZ24" t="str">
        <f>IFERROR(VLOOKUP(MainTbl[[#This Row],[solvent_2_smiles]],SolvTbl[],MATCH("Solvent",SolvTbl[#Headers],0),FALSE),"")</f>
        <v/>
      </c>
      <c r="BA24" t="str">
        <f>IFERROR(VLOOKUP(MainTbl[[#This Row],[solvent_3_smiles]],SolvTbl[],MATCH("Solvent",SolvTbl[#Headers],0),FALSE),"")</f>
        <v/>
      </c>
      <c r="BB24">
        <f>--(MainTbl[[#This Row],[solv_1_ratio]]&gt;0)+--(MainTbl[[#This Row],[solv_2_ratio]]&gt;0)+--(MainTbl[[#This Row],[solv_3_ratio]]&gt;0)</f>
        <v>1</v>
      </c>
      <c r="BC24" t="str">
        <f>IF(AND(MainTbl[[#This Row],[SaltName1]]&lt;&gt;"",MainTbl[[#This Row],[salt_1_conc]]&gt;0),TEXT(MainTbl[[#This Row],[salt_1_conc]],"0.###")&amp;" M "&amp;MainTbl[[#This Row],[SaltName1]],"")</f>
        <v>1. M LiClO4</v>
      </c>
      <c r="BD24" t="str">
        <f>IF(AND(MainTbl[[#This Row],[SaltName2]]&lt;&gt;"",MainTbl[[#This Row],[salt_2_conc]]&gt;0),TEXT(MainTbl[[#This Row],[salt_2_conc]],"0.###")&amp;" M "&amp;MainTbl[[#This Row],[SaltName2]],"")</f>
        <v/>
      </c>
      <c r="BE2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LiClO4</v>
      </c>
      <c r="BF24" t="str">
        <f>IF(MainTbl[[#This Row],[SolvCount]]=1,MainTbl[[#This Row],[SolvName1]],IF(MainTbl[[#This Row],[solv_1_ratio]]&gt;0,MainTbl[[#This Row],[SolvName1]]&amp;" "&amp;TEXT(MainTbl[[#This Row],[solv_1_ratio]]*100,"0.##")&amp;"%",""))</f>
        <v>1,3-dioxolane (	C3H6O2)</v>
      </c>
      <c r="BG24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2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1,3-dioxolane (	C3H6O2)</v>
      </c>
      <c r="BJ24" t="str">
        <f>TRIM(_xlfn.CONCAT(MainTbl[[#This Row],[Salt_text]]," ",MainTbl[[#This Row],[Solvent_text]]))</f>
        <v>1. M LiClO4 1,3-dioxolane (	C3H6O2)</v>
      </c>
    </row>
    <row r="25" spans="1:62" x14ac:dyDescent="0.25">
      <c r="A25" t="s">
        <v>19</v>
      </c>
      <c r="B25" t="s">
        <v>38</v>
      </c>
      <c r="D25" t="s">
        <v>39</v>
      </c>
      <c r="G25">
        <v>0.3</v>
      </c>
      <c r="H25">
        <v>0.7</v>
      </c>
      <c r="I25">
        <v>0</v>
      </c>
      <c r="J25">
        <v>1.2</v>
      </c>
      <c r="K25">
        <v>0</v>
      </c>
      <c r="L25">
        <v>0.95</v>
      </c>
      <c r="M25">
        <f t="shared" si="0"/>
        <v>95</v>
      </c>
      <c r="N25">
        <f t="shared" si="1"/>
        <v>1.3010299956639808</v>
      </c>
      <c r="O25">
        <f>IFERROR(MainTbl[[#This Row],[solv_1_ratio]]*VLOOKUP(MainTbl[[#This Row],[solvent_1_smiles]],SolvTbl[],13,FALSE),0)</f>
        <v>4.496831777611229</v>
      </c>
      <c r="P25">
        <f>IFERROR(MainTbl[[#This Row],[solv_2_ratio]]*VLOOKUP(MainTbl[[#This Row],[solvent_2_smiles]],SolvTbl[],13,FALSE),0)</f>
        <v>6.764389456697149</v>
      </c>
      <c r="Q25">
        <f>IFERROR(MainTbl[[#This Row],[solv_3_ratio]]*VLOOKUP(MainTbl[[#This Row],[solvent_3_smiles]],SolvTbl[],13,FALSE),0)</f>
        <v>0</v>
      </c>
      <c r="R25">
        <f>IFERROR(MainTbl[[#This Row],[salt_1_conc]],0)</f>
        <v>1.2</v>
      </c>
      <c r="S25">
        <f>IFERROR(MainTbl[[#This Row],[salt_2_conc]],0)</f>
        <v>0</v>
      </c>
      <c r="T2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33.783663702925132</v>
      </c>
      <c r="U2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25">
        <f>MainTbl[[#This Row],[O_from_solvents]]+MainTbl[[#This Row],[O_from_salts]]</f>
        <v>38.583663702925129</v>
      </c>
      <c r="W2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40.548053159622285</v>
      </c>
      <c r="X2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2.4</v>
      </c>
      <c r="Y25">
        <f>MainTbl[[#This Row],[C_from_solvents]]+MainTbl[[#This Row],[C_from_salts]]</f>
        <v>42.948053159622283</v>
      </c>
      <c r="Z2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2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25">
        <f>MainTbl[[#This Row],[F_from_solvents]]+MainTbl[[#This Row],[F_from_salts]]</f>
        <v>2.4</v>
      </c>
      <c r="AC2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72.102442764022101</v>
      </c>
      <c r="AD2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5">
        <f>MainTbl[[#This Row],[H_from_solvents]]+MainTbl[[#This Row],[H_from_salts]]</f>
        <v>72.102442764022101</v>
      </c>
      <c r="AF2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25">
        <f>MainTbl[[#This Row],[Li_from_solvents]]+MainTbl[[#This Row],[Li_from_salts]]</f>
        <v>1.2</v>
      </c>
      <c r="AI2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158.43415962656951</v>
      </c>
      <c r="AJ25" s="2">
        <f>IFERROR(MainTbl[[#This Row],[O_total]]/MainTbl[[#This Row],[TotalAtoms_all]],0)</f>
        <v>0.24353121696651223</v>
      </c>
      <c r="AK25" s="2">
        <f>IFERROR(MainTbl[[#This Row],[O_from_solvents]]/MainTbl[[#This Row],[TotalAtoms_all]],0)</f>
        <v>0.21323472023049497</v>
      </c>
      <c r="AL25" s="2">
        <f>IFERROR(MainTbl[[#This Row],[O_from_salts]]/MainTbl[[#This Row],[TotalAtoms_all]],0)</f>
        <v>3.0296496736017253E-2</v>
      </c>
      <c r="AM25" s="2">
        <f>IFERROR(MainTbl[[#This Row],[C_total]]/MainTbl[[#This Row],[TotalAtoms_all]],0)</f>
        <v>0.27107824007683168</v>
      </c>
      <c r="AN25" s="2">
        <f>IFERROR(MainTbl[[#This Row],[C_from_solvents]]/MainTbl[[#This Row],[TotalAtoms_all]],0)</f>
        <v>0.25592999170882308</v>
      </c>
      <c r="AO25" s="2">
        <f>IFERROR(MainTbl[[#This Row],[C_from_salts]]/MainTbl[[#This Row],[TotalAtoms_all]],0)</f>
        <v>1.5148248368008627E-2</v>
      </c>
      <c r="AP25" s="2">
        <f>IFERROR(MainTbl[[#This Row],[F_total]]/MainTbl[[#This Row],[TotalAtoms_all]],0)</f>
        <v>1.5148248368008627E-2</v>
      </c>
      <c r="AQ25" s="2">
        <f>IFERROR(MainTbl[[#This Row],[F_from_solvents]]/MainTbl[[#This Row],[TotalAtoms_all]],0)</f>
        <v>0</v>
      </c>
      <c r="AR25" s="2">
        <f>IFERROR(MainTbl[[#This Row],[F_from_salts]]/MainTbl[[#This Row],[TotalAtoms_all]],0)</f>
        <v>1.5148248368008627E-2</v>
      </c>
      <c r="AS25" s="2">
        <f>IFERROR(MainTbl[[#This Row],[F_total]]/MainTbl[[#This Row],[O_total]],0)</f>
        <v>6.2202491149591102E-2</v>
      </c>
      <c r="AT25" s="2">
        <f>IFERROR(MainTbl[[#This Row],[F_total]]/MainTbl[[#This Row],[C_total]],0)</f>
        <v>5.5881461985717334E-2</v>
      </c>
      <c r="AU25" s="2">
        <f>IFERROR(MainTbl[[#This Row],[O_total]]/MainTbl[[#This Row],[C_total]],0)</f>
        <v>0.89837980686863017</v>
      </c>
      <c r="AV25" s="2">
        <f>IFERROR((MainTbl[[#This Row],[TotalAtoms_all]]-(MainTbl[[#This Row],[C_total]]+MainTbl[[#This Row],[H_total]]+MainTbl[[#This Row],[Li_total]]))/MainTbl[[#This Row],[C_total]],0)</f>
        <v>0.98220199984720624</v>
      </c>
      <c r="AW25" t="str">
        <f>IFERROR(VLOOKUP(MainTbl[[#This Row],[salt_1_smiles]],SaltTbl[],MATCH("Salt",SaltTbl[#Headers],0),FALSE),"")</f>
        <v>LIFOB</v>
      </c>
      <c r="AX25" t="str">
        <f>IFERROR(VLOOKUP(MainTbl[[#This Row],[salt_2_smiles]],SaltTbl[],MATCH("Salt",SaltTbl[#Headers],0),FALSE),"")</f>
        <v/>
      </c>
      <c r="AY25" t="str">
        <f>IFERROR(VLOOKUP(MainTbl[[#This Row],[solvent_1_smiles]],SolvTbl[],MATCH("Solvent",SolvTbl[#Headers],0),FALSE),"")</f>
        <v>Ethylene carbonate</v>
      </c>
      <c r="AZ25" t="str">
        <f>IFERROR(VLOOKUP(MainTbl[[#This Row],[solvent_2_smiles]],SolvTbl[],MATCH("Solvent",SolvTbl[#Headers],0),FALSE),"")</f>
        <v>EMC (C4H8O3)</v>
      </c>
      <c r="BA25" t="str">
        <f>IFERROR(VLOOKUP(MainTbl[[#This Row],[solvent_3_smiles]],SolvTbl[],MATCH("Solvent",SolvTbl[#Headers],0),FALSE),"")</f>
        <v/>
      </c>
      <c r="BB25">
        <f>--(MainTbl[[#This Row],[solv_1_ratio]]&gt;0)+--(MainTbl[[#This Row],[solv_2_ratio]]&gt;0)+--(MainTbl[[#This Row],[solv_3_ratio]]&gt;0)</f>
        <v>2</v>
      </c>
      <c r="BC25" t="str">
        <f>IF(AND(MainTbl[[#This Row],[SaltName1]]&lt;&gt;"",MainTbl[[#This Row],[salt_1_conc]]&gt;0),TEXT(MainTbl[[#This Row],[salt_1_conc]],"0.###")&amp;" M "&amp;MainTbl[[#This Row],[SaltName1]],"")</f>
        <v>1.2 M LIFOB</v>
      </c>
      <c r="BD25" t="str">
        <f>IF(AND(MainTbl[[#This Row],[SaltName2]]&lt;&gt;"",MainTbl[[#This Row],[salt_2_conc]]&gt;0),TEXT(MainTbl[[#This Row],[salt_2_conc]],"0.###")&amp;" M "&amp;MainTbl[[#This Row],[SaltName2]],"")</f>
        <v/>
      </c>
      <c r="BE2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LIFOB</v>
      </c>
      <c r="BF25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30.%</v>
      </c>
      <c r="BG25" t="str">
        <f>IF(MainTbl[[#This Row],[SolvCount]]=1,MainTbl[[#This Row],[SolvName2]],IF(MainTbl[[#This Row],[solv_2_ratio]]&gt;0,MainTbl[[#This Row],[SolvName2]]&amp;" "&amp;TEXT(MainTbl[[#This Row],[solv_2_ratio]]*100,"0.##")&amp;"%",""))</f>
        <v>EMC (C4H8O3) 70.%</v>
      </c>
      <c r="BH2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30.% + EMC (C4H8O3) 70.%</v>
      </c>
      <c r="BJ25" t="str">
        <f>TRIM(_xlfn.CONCAT(MainTbl[[#This Row],[Salt_text]]," ",MainTbl[[#This Row],[Solvent_text]]))</f>
        <v>1.2 M LIFOB Ethylene carbonate 30.% + EMC (C4H8O3) 70.%</v>
      </c>
    </row>
    <row r="26" spans="1:62" x14ac:dyDescent="0.25">
      <c r="A26" t="s">
        <v>19</v>
      </c>
      <c r="B26" t="s">
        <v>28</v>
      </c>
      <c r="D26" t="s">
        <v>39</v>
      </c>
      <c r="G26">
        <v>0.25</v>
      </c>
      <c r="H26">
        <v>0.75</v>
      </c>
      <c r="I26">
        <v>0</v>
      </c>
      <c r="J26">
        <v>1</v>
      </c>
      <c r="K26">
        <v>0</v>
      </c>
      <c r="L26">
        <v>0.95</v>
      </c>
      <c r="M26">
        <f t="shared" si="0"/>
        <v>95</v>
      </c>
      <c r="N26">
        <f t="shared" si="1"/>
        <v>1.3010299956639808</v>
      </c>
      <c r="O26">
        <f>IFERROR(MainTbl[[#This Row],[solv_1_ratio]]*VLOOKUP(MainTbl[[#This Row],[solvent_1_smiles]],SolvTbl[],13,FALSE),0)</f>
        <v>3.7473598146760243</v>
      </c>
      <c r="P26">
        <f>IFERROR(MainTbl[[#This Row],[solv_2_ratio]]*VLOOKUP(MainTbl[[#This Row],[solvent_2_smiles]],SolvTbl[],13,FALSE),0)</f>
        <v>6.1902141708287477</v>
      </c>
      <c r="Q26">
        <f>IFERROR(MainTbl[[#This Row],[solv_3_ratio]]*VLOOKUP(MainTbl[[#This Row],[solvent_3_smiles]],SolvTbl[],13,FALSE),0)</f>
        <v>0</v>
      </c>
      <c r="R26">
        <f>IFERROR(MainTbl[[#This Row],[salt_1_conc]],0)</f>
        <v>1</v>
      </c>
      <c r="S26">
        <f>IFERROR(MainTbl[[#This Row],[salt_2_conc]],0)</f>
        <v>0</v>
      </c>
      <c r="T2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29.812721956514316</v>
      </c>
      <c r="U2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26">
        <f>MainTbl[[#This Row],[O_from_solvents]]+MainTbl[[#This Row],[O_from_salts]]</f>
        <v>33.812721956514316</v>
      </c>
      <c r="W2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42.193150298171808</v>
      </c>
      <c r="X2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2</v>
      </c>
      <c r="Y26">
        <f>MainTbl[[#This Row],[C_from_solvents]]+MainTbl[[#This Row],[C_from_salts]]</f>
        <v>44.193150298171808</v>
      </c>
      <c r="Z2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2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26">
        <f>MainTbl[[#This Row],[F_from_solvents]]+MainTbl[[#This Row],[F_from_salts]]</f>
        <v>2</v>
      </c>
      <c r="AC2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76.891580966991569</v>
      </c>
      <c r="AD2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6">
        <f>MainTbl[[#This Row],[H_from_solvents]]+MainTbl[[#This Row],[H_from_salts]]</f>
        <v>76.891580966991569</v>
      </c>
      <c r="AF2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26">
        <f>MainTbl[[#This Row],[Li_from_solvents]]+MainTbl[[#This Row],[Li_from_salts]]</f>
        <v>1</v>
      </c>
      <c r="AI2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158.89745322167769</v>
      </c>
      <c r="AJ26" s="2">
        <f>IFERROR(MainTbl[[#This Row],[O_total]]/MainTbl[[#This Row],[TotalAtoms_all]],0)</f>
        <v>0.21279587099072142</v>
      </c>
      <c r="AK26" s="2">
        <f>IFERROR(MainTbl[[#This Row],[O_from_solvents]]/MainTbl[[#This Row],[TotalAtoms_all]],0)</f>
        <v>0.18762240270095842</v>
      </c>
      <c r="AL26" s="2">
        <f>IFERROR(MainTbl[[#This Row],[O_from_salts]]/MainTbl[[#This Row],[TotalAtoms_all]],0)</f>
        <v>2.5173468289762982E-2</v>
      </c>
      <c r="AM26" s="2">
        <f>IFERROR(MainTbl[[#This Row],[C_total]]/MainTbl[[#This Row],[TotalAtoms_all]],0)</f>
        <v>0.27812371691393933</v>
      </c>
      <c r="AN26" s="2">
        <f>IFERROR(MainTbl[[#This Row],[C_from_solvents]]/MainTbl[[#This Row],[TotalAtoms_all]],0)</f>
        <v>0.26553698276905785</v>
      </c>
      <c r="AO26" s="2">
        <f>IFERROR(MainTbl[[#This Row],[C_from_salts]]/MainTbl[[#This Row],[TotalAtoms_all]],0)</f>
        <v>1.2586734144881491E-2</v>
      </c>
      <c r="AP26" s="2">
        <f>IFERROR(MainTbl[[#This Row],[F_total]]/MainTbl[[#This Row],[TotalAtoms_all]],0)</f>
        <v>1.2586734144881491E-2</v>
      </c>
      <c r="AQ26" s="2">
        <f>IFERROR(MainTbl[[#This Row],[F_from_solvents]]/MainTbl[[#This Row],[TotalAtoms_all]],0)</f>
        <v>0</v>
      </c>
      <c r="AR26" s="2">
        <f>IFERROR(MainTbl[[#This Row],[F_from_salts]]/MainTbl[[#This Row],[TotalAtoms_all]],0)</f>
        <v>1.2586734144881491E-2</v>
      </c>
      <c r="AS26" s="2">
        <f>IFERROR(MainTbl[[#This Row],[F_total]]/MainTbl[[#This Row],[O_total]],0)</f>
        <v>5.9149334459738238E-2</v>
      </c>
      <c r="AT26" s="2">
        <f>IFERROR(MainTbl[[#This Row],[F_total]]/MainTbl[[#This Row],[C_total]],0)</f>
        <v>4.5255882110824229E-2</v>
      </c>
      <c r="AU26" s="2">
        <f>IFERROR(MainTbl[[#This Row],[O_total]]/MainTbl[[#This Row],[C_total]],0)</f>
        <v>0.765112279355045</v>
      </c>
      <c r="AV26" s="2">
        <f>IFERROR((MainTbl[[#This Row],[TotalAtoms_all]]-(MainTbl[[#This Row],[C_total]]+MainTbl[[#This Row],[H_total]]+MainTbl[[#This Row],[Li_total]]))/MainTbl[[#This Row],[C_total]],0)</f>
        <v>0.83299610252128109</v>
      </c>
      <c r="AW26" t="str">
        <f>IFERROR(VLOOKUP(MainTbl[[#This Row],[salt_1_smiles]],SaltTbl[],MATCH("Salt",SaltTbl[#Headers],0),FALSE),"")</f>
        <v>LIFOB</v>
      </c>
      <c r="AX26" t="str">
        <f>IFERROR(VLOOKUP(MainTbl[[#This Row],[salt_2_smiles]],SaltTbl[],MATCH("Salt",SaltTbl[#Headers],0),FALSE),"")</f>
        <v/>
      </c>
      <c r="AY26" t="str">
        <f>IFERROR(VLOOKUP(MainTbl[[#This Row],[solvent_1_smiles]],SolvTbl[],MATCH("Solvent",SolvTbl[#Headers],0),FALSE),"")</f>
        <v>Ethylene carbonate</v>
      </c>
      <c r="AZ26" t="str">
        <f>IFERROR(VLOOKUP(MainTbl[[#This Row],[solvent_2_smiles]],SolvTbl[],MATCH("Solvent",SolvTbl[#Headers],0),FALSE),"")</f>
        <v>Diethyl Carbonate</v>
      </c>
      <c r="BA26" t="str">
        <f>IFERROR(VLOOKUP(MainTbl[[#This Row],[solvent_3_smiles]],SolvTbl[],MATCH("Solvent",SolvTbl[#Headers],0),FALSE),"")</f>
        <v/>
      </c>
      <c r="BB26">
        <f>--(MainTbl[[#This Row],[solv_1_ratio]]&gt;0)+--(MainTbl[[#This Row],[solv_2_ratio]]&gt;0)+--(MainTbl[[#This Row],[solv_3_ratio]]&gt;0)</f>
        <v>2</v>
      </c>
      <c r="BC26" t="str">
        <f>IF(AND(MainTbl[[#This Row],[SaltName1]]&lt;&gt;"",MainTbl[[#This Row],[salt_1_conc]]&gt;0),TEXT(MainTbl[[#This Row],[salt_1_conc]],"0.###")&amp;" M "&amp;MainTbl[[#This Row],[SaltName1]],"")</f>
        <v>1. M LIFOB</v>
      </c>
      <c r="BD26" t="str">
        <f>IF(AND(MainTbl[[#This Row],[SaltName2]]&lt;&gt;"",MainTbl[[#This Row],[salt_2_conc]]&gt;0),TEXT(MainTbl[[#This Row],[salt_2_conc]],"0.###")&amp;" M "&amp;MainTbl[[#This Row],[SaltName2]],"")</f>
        <v/>
      </c>
      <c r="BE2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LIFOB</v>
      </c>
      <c r="BF26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25.%</v>
      </c>
      <c r="BG26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75.%</v>
      </c>
      <c r="BH2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25.% + Diethyl Carbonate 75.%</v>
      </c>
      <c r="BJ26" t="str">
        <f>TRIM(_xlfn.CONCAT(MainTbl[[#This Row],[Salt_text]]," ",MainTbl[[#This Row],[Solvent_text]]))</f>
        <v>1. M LIFOB Ethylene carbonate 25.% + Diethyl Carbonate 75.%</v>
      </c>
    </row>
    <row r="27" spans="1:62" x14ac:dyDescent="0.25">
      <c r="A27" t="s">
        <v>12</v>
      </c>
      <c r="D27" t="s">
        <v>15</v>
      </c>
      <c r="G27">
        <v>1</v>
      </c>
      <c r="H27">
        <v>0</v>
      </c>
      <c r="I27">
        <v>0</v>
      </c>
      <c r="J27">
        <v>1</v>
      </c>
      <c r="K27">
        <v>0</v>
      </c>
      <c r="L27">
        <v>0.84199999999999997</v>
      </c>
      <c r="M27">
        <f t="shared" si="0"/>
        <v>84.2</v>
      </c>
      <c r="N27">
        <f t="shared" si="1"/>
        <v>0.80134291304557725</v>
      </c>
      <c r="O27">
        <f>IFERROR(MainTbl[[#This Row],[solv_1_ratio]]*VLOOKUP(MainTbl[[#This Row],[solvent_1_smiles]],SolvTbl[],13,FALSE),0)</f>
        <v>11.754564689287674</v>
      </c>
      <c r="P27">
        <f>IFERROR(MainTbl[[#This Row],[solv_2_ratio]]*VLOOKUP(MainTbl[[#This Row],[solvent_2_smiles]],SolvTbl[],13,FALSE),0)</f>
        <v>0</v>
      </c>
      <c r="Q27">
        <f>IFERROR(MainTbl[[#This Row],[solv_3_ratio]]*VLOOKUP(MainTbl[[#This Row],[solvent_3_smiles]],SolvTbl[],13,FALSE),0)</f>
        <v>0</v>
      </c>
      <c r="R27">
        <f>IFERROR(MainTbl[[#This Row],[salt_1_conc]],0)</f>
        <v>1</v>
      </c>
      <c r="S27">
        <f>IFERROR(MainTbl[[#This Row],[salt_2_conc]],0)</f>
        <v>0</v>
      </c>
      <c r="T2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35.263694067863021</v>
      </c>
      <c r="U2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27">
        <f>MainTbl[[#This Row],[O_from_solvents]]+MainTbl[[#This Row],[O_from_salts]]</f>
        <v>35.263694067863021</v>
      </c>
      <c r="W2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47.018258757150697</v>
      </c>
      <c r="X2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27">
        <f>MainTbl[[#This Row],[C_from_solvents]]+MainTbl[[#This Row],[C_from_salts]]</f>
        <v>47.018258757150697</v>
      </c>
      <c r="Z2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2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27">
        <f>MainTbl[[#This Row],[F_from_solvents]]+MainTbl[[#This Row],[F_from_salts]]</f>
        <v>6</v>
      </c>
      <c r="AC2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70.527388135726042</v>
      </c>
      <c r="AD2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7">
        <f>MainTbl[[#This Row],[H_from_solvents]]+MainTbl[[#This Row],[H_from_salts]]</f>
        <v>70.527388135726042</v>
      </c>
      <c r="AF2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27">
        <f>MainTbl[[#This Row],[Li_from_solvents]]+MainTbl[[#This Row],[Li_from_salts]]</f>
        <v>1</v>
      </c>
      <c r="AI2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160.80934096073977</v>
      </c>
      <c r="AJ27" s="2">
        <f>IFERROR(MainTbl[[#This Row],[O_total]]/MainTbl[[#This Row],[TotalAtoms_all]],0)</f>
        <v>0.21928884141420835</v>
      </c>
      <c r="AK27" s="2">
        <f>IFERROR(MainTbl[[#This Row],[O_from_solvents]]/MainTbl[[#This Row],[TotalAtoms_all]],0)</f>
        <v>0.21928884141420835</v>
      </c>
      <c r="AL27" s="2">
        <f>IFERROR(MainTbl[[#This Row],[O_from_salts]]/MainTbl[[#This Row],[TotalAtoms_all]],0)</f>
        <v>0</v>
      </c>
      <c r="AM27" s="2">
        <f>IFERROR(MainTbl[[#This Row],[C_total]]/MainTbl[[#This Row],[TotalAtoms_all]],0)</f>
        <v>0.29238512188561111</v>
      </c>
      <c r="AN27" s="2">
        <f>IFERROR(MainTbl[[#This Row],[C_from_solvents]]/MainTbl[[#This Row],[TotalAtoms_all]],0)</f>
        <v>0.29238512188561111</v>
      </c>
      <c r="AO27" s="2">
        <f>IFERROR(MainTbl[[#This Row],[C_from_salts]]/MainTbl[[#This Row],[TotalAtoms_all]],0)</f>
        <v>0</v>
      </c>
      <c r="AP27" s="2">
        <f>IFERROR(MainTbl[[#This Row],[F_total]]/MainTbl[[#This Row],[TotalAtoms_all]],0)</f>
        <v>3.7311265403822833E-2</v>
      </c>
      <c r="AQ27" s="2">
        <f>IFERROR(MainTbl[[#This Row],[F_from_solvents]]/MainTbl[[#This Row],[TotalAtoms_all]],0)</f>
        <v>0</v>
      </c>
      <c r="AR27" s="2">
        <f>IFERROR(MainTbl[[#This Row],[F_from_salts]]/MainTbl[[#This Row],[TotalAtoms_all]],0)</f>
        <v>3.7311265403822833E-2</v>
      </c>
      <c r="AS27" s="2">
        <f>IFERROR(MainTbl[[#This Row],[F_total]]/MainTbl[[#This Row],[O_total]],0)</f>
        <v>0.17014666666666667</v>
      </c>
      <c r="AT27" s="2">
        <f>IFERROR(MainTbl[[#This Row],[F_total]]/MainTbl[[#This Row],[C_total]],0)</f>
        <v>0.12761</v>
      </c>
      <c r="AU27" s="2">
        <f>IFERROR(MainTbl[[#This Row],[O_total]]/MainTbl[[#This Row],[C_total]],0)</f>
        <v>0.75</v>
      </c>
      <c r="AV27" s="2">
        <f>IFERROR((MainTbl[[#This Row],[TotalAtoms_all]]-(MainTbl[[#This Row],[C_total]]+MainTbl[[#This Row],[H_total]]+MainTbl[[#This Row],[Li_total]]))/MainTbl[[#This Row],[C_total]],0)</f>
        <v>0.89887833333333378</v>
      </c>
      <c r="AW27" t="str">
        <f>IFERROR(VLOOKUP(MainTbl[[#This Row],[salt_1_smiles]],SaltTbl[],MATCH("Salt",SaltTbl[#Headers],0),FALSE),"")</f>
        <v>LiAsF6</v>
      </c>
      <c r="AX27" t="str">
        <f>IFERROR(VLOOKUP(MainTbl[[#This Row],[salt_2_smiles]],SaltTbl[],MATCH("Salt",SaltTbl[#Headers],0),FALSE),"")</f>
        <v/>
      </c>
      <c r="AY27" t="str">
        <f>IFERROR(VLOOKUP(MainTbl[[#This Row],[solvent_1_smiles]],SolvTbl[],MATCH("Solvent",SolvTbl[#Headers],0),FALSE),"")</f>
        <v>PC (C4H6O3)</v>
      </c>
      <c r="AZ27" t="str">
        <f>IFERROR(VLOOKUP(MainTbl[[#This Row],[solvent_2_smiles]],SolvTbl[],MATCH("Solvent",SolvTbl[#Headers],0),FALSE),"")</f>
        <v/>
      </c>
      <c r="BA27" t="str">
        <f>IFERROR(VLOOKUP(MainTbl[[#This Row],[solvent_3_smiles]],SolvTbl[],MATCH("Solvent",SolvTbl[#Headers],0),FALSE),"")</f>
        <v/>
      </c>
      <c r="BB27">
        <f>--(MainTbl[[#This Row],[solv_1_ratio]]&gt;0)+--(MainTbl[[#This Row],[solv_2_ratio]]&gt;0)+--(MainTbl[[#This Row],[solv_3_ratio]]&gt;0)</f>
        <v>1</v>
      </c>
      <c r="BC27" t="str">
        <f>IF(AND(MainTbl[[#This Row],[SaltName1]]&lt;&gt;"",MainTbl[[#This Row],[salt_1_conc]]&gt;0),TEXT(MainTbl[[#This Row],[salt_1_conc]],"0.###")&amp;" M "&amp;MainTbl[[#This Row],[SaltName1]],"")</f>
        <v>1. M LiAsF6</v>
      </c>
      <c r="BD27" t="str">
        <f>IF(AND(MainTbl[[#This Row],[SaltName2]]&lt;&gt;"",MainTbl[[#This Row],[salt_2_conc]]&gt;0),TEXT(MainTbl[[#This Row],[salt_2_conc]],"0.###")&amp;" M "&amp;MainTbl[[#This Row],[SaltName2]],"")</f>
        <v/>
      </c>
      <c r="BE2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LiAsF6</v>
      </c>
      <c r="BF27" t="str">
        <f>IF(MainTbl[[#This Row],[SolvCount]]=1,MainTbl[[#This Row],[SolvName1]],IF(MainTbl[[#This Row],[solv_1_ratio]]&gt;0,MainTbl[[#This Row],[SolvName1]]&amp;" "&amp;TEXT(MainTbl[[#This Row],[solv_1_ratio]]*100,"0.##")&amp;"%",""))</f>
        <v>PC (C4H6O3)</v>
      </c>
      <c r="BG27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2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PC (C4H6O3)</v>
      </c>
      <c r="BJ27" t="str">
        <f>TRIM(_xlfn.CONCAT(MainTbl[[#This Row],[Salt_text]]," ",MainTbl[[#This Row],[Solvent_text]]))</f>
        <v>1. M LiAsF6 PC (C4H6O3)</v>
      </c>
    </row>
    <row r="28" spans="1:62" x14ac:dyDescent="0.25">
      <c r="A28" t="s">
        <v>14</v>
      </c>
      <c r="D28" t="s">
        <v>15</v>
      </c>
      <c r="G28">
        <v>1</v>
      </c>
      <c r="H28">
        <v>0</v>
      </c>
      <c r="I28">
        <v>0</v>
      </c>
      <c r="J28">
        <v>0.5</v>
      </c>
      <c r="K28">
        <v>0</v>
      </c>
      <c r="L28">
        <v>0.95</v>
      </c>
      <c r="M28">
        <f t="shared" si="0"/>
        <v>95</v>
      </c>
      <c r="N28">
        <f t="shared" si="1"/>
        <v>1.3010299956639808</v>
      </c>
      <c r="O28">
        <f>IFERROR(MainTbl[[#This Row],[solv_1_ratio]]*VLOOKUP(MainTbl[[#This Row],[solvent_1_smiles]],SolvTbl[],13,FALSE),0)</f>
        <v>12.315544213913237</v>
      </c>
      <c r="P28">
        <f>IFERROR(MainTbl[[#This Row],[solv_2_ratio]]*VLOOKUP(MainTbl[[#This Row],[solvent_2_smiles]],SolvTbl[],13,FALSE),0)</f>
        <v>0</v>
      </c>
      <c r="Q28">
        <f>IFERROR(MainTbl[[#This Row],[solv_3_ratio]]*VLOOKUP(MainTbl[[#This Row],[solvent_3_smiles]],SolvTbl[],13,FALSE),0)</f>
        <v>0</v>
      </c>
      <c r="R28">
        <f>IFERROR(MainTbl[[#This Row],[salt_1_conc]],0)</f>
        <v>0.5</v>
      </c>
      <c r="S28">
        <f>IFERROR(MainTbl[[#This Row],[salt_2_conc]],0)</f>
        <v>0</v>
      </c>
      <c r="T2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12.315544213913237</v>
      </c>
      <c r="U2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28">
        <f>MainTbl[[#This Row],[O_from_solvents]]+MainTbl[[#This Row],[O_from_salts]]</f>
        <v>12.315544213913237</v>
      </c>
      <c r="W2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49.262176855652946</v>
      </c>
      <c r="X2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28">
        <f>MainTbl[[#This Row],[C_from_solvents]]+MainTbl[[#This Row],[C_from_salts]]</f>
        <v>49.262176855652946</v>
      </c>
      <c r="Z2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2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3</v>
      </c>
      <c r="AB28">
        <f>MainTbl[[#This Row],[F_from_solvents]]+MainTbl[[#This Row],[F_from_salts]]</f>
        <v>3</v>
      </c>
      <c r="AC2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98.524353711305892</v>
      </c>
      <c r="AD2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8">
        <f>MainTbl[[#This Row],[H_from_solvents]]+MainTbl[[#This Row],[H_from_salts]]</f>
        <v>98.524353711305892</v>
      </c>
      <c r="AF2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0.5</v>
      </c>
      <c r="AH28">
        <f>MainTbl[[#This Row],[Li_from_solvents]]+MainTbl[[#This Row],[Li_from_salts]]</f>
        <v>0.5</v>
      </c>
      <c r="AI2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164.10207478087207</v>
      </c>
      <c r="AJ28" s="2">
        <f>IFERROR(MainTbl[[#This Row],[O_total]]/MainTbl[[#This Row],[TotalAtoms_all]],0)</f>
        <v>7.504807133217764E-2</v>
      </c>
      <c r="AK28" s="2">
        <f>IFERROR(MainTbl[[#This Row],[O_from_solvents]]/MainTbl[[#This Row],[TotalAtoms_all]],0)</f>
        <v>7.504807133217764E-2</v>
      </c>
      <c r="AL28" s="2">
        <f>IFERROR(MainTbl[[#This Row],[O_from_salts]]/MainTbl[[#This Row],[TotalAtoms_all]],0)</f>
        <v>0</v>
      </c>
      <c r="AM28" s="2">
        <f>IFERROR(MainTbl[[#This Row],[C_total]]/MainTbl[[#This Row],[TotalAtoms_all]],0)</f>
        <v>0.30019228532871056</v>
      </c>
      <c r="AN28" s="2">
        <f>IFERROR(MainTbl[[#This Row],[C_from_solvents]]/MainTbl[[#This Row],[TotalAtoms_all]],0)</f>
        <v>0.30019228532871056</v>
      </c>
      <c r="AO28" s="2">
        <f>IFERROR(MainTbl[[#This Row],[C_from_salts]]/MainTbl[[#This Row],[TotalAtoms_all]],0)</f>
        <v>0</v>
      </c>
      <c r="AP28" s="2">
        <f>IFERROR(MainTbl[[#This Row],[F_total]]/MainTbl[[#This Row],[TotalAtoms_all]],0)</f>
        <v>1.828130451126803E-2</v>
      </c>
      <c r="AQ28" s="2">
        <f>IFERROR(MainTbl[[#This Row],[F_from_solvents]]/MainTbl[[#This Row],[TotalAtoms_all]],0)</f>
        <v>0</v>
      </c>
      <c r="AR28" s="2">
        <f>IFERROR(MainTbl[[#This Row],[F_from_salts]]/MainTbl[[#This Row],[TotalAtoms_all]],0)</f>
        <v>1.828130451126803E-2</v>
      </c>
      <c r="AS28" s="2">
        <f>IFERROR(MainTbl[[#This Row],[F_total]]/MainTbl[[#This Row],[O_total]],0)</f>
        <v>0.24359459459459459</v>
      </c>
      <c r="AT28" s="2">
        <f>IFERROR(MainTbl[[#This Row],[F_total]]/MainTbl[[#This Row],[C_total]],0)</f>
        <v>6.0898648648648648E-2</v>
      </c>
      <c r="AU28" s="2">
        <f>IFERROR(MainTbl[[#This Row],[O_total]]/MainTbl[[#This Row],[C_total]],0)</f>
        <v>0.25</v>
      </c>
      <c r="AV28" s="2">
        <f>IFERROR((MainTbl[[#This Row],[TotalAtoms_all]]-(MainTbl[[#This Row],[C_total]]+MainTbl[[#This Row],[H_total]]+MainTbl[[#This Row],[Li_total]]))/MainTbl[[#This Row],[C_total]],0)</f>
        <v>0.32104842342342327</v>
      </c>
      <c r="AW28" t="str">
        <f>IFERROR(VLOOKUP(MainTbl[[#This Row],[salt_1_smiles]],SaltTbl[],MATCH("Salt",SaltTbl[#Headers],0),FALSE),"")</f>
        <v>LiAsF6</v>
      </c>
      <c r="AX28" t="str">
        <f>IFERROR(VLOOKUP(MainTbl[[#This Row],[salt_2_smiles]],SaltTbl[],MATCH("Salt",SaltTbl[#Headers],0),FALSE),"")</f>
        <v/>
      </c>
      <c r="AY28" t="str">
        <f>IFERROR(VLOOKUP(MainTbl[[#This Row],[solvent_1_smiles]],SolvTbl[],MATCH("Solvent",SolvTbl[#Headers],0),FALSE),"")</f>
        <v>THF (C4H8O)</v>
      </c>
      <c r="AZ28" t="str">
        <f>IFERROR(VLOOKUP(MainTbl[[#This Row],[solvent_2_smiles]],SolvTbl[],MATCH("Solvent",SolvTbl[#Headers],0),FALSE),"")</f>
        <v/>
      </c>
      <c r="BA28" t="str">
        <f>IFERROR(VLOOKUP(MainTbl[[#This Row],[solvent_3_smiles]],SolvTbl[],MATCH("Solvent",SolvTbl[#Headers],0),FALSE),"")</f>
        <v/>
      </c>
      <c r="BB28">
        <f>--(MainTbl[[#This Row],[solv_1_ratio]]&gt;0)+--(MainTbl[[#This Row],[solv_2_ratio]]&gt;0)+--(MainTbl[[#This Row],[solv_3_ratio]]&gt;0)</f>
        <v>1</v>
      </c>
      <c r="BC28" t="str">
        <f>IF(AND(MainTbl[[#This Row],[SaltName1]]&lt;&gt;"",MainTbl[[#This Row],[salt_1_conc]]&gt;0),TEXT(MainTbl[[#This Row],[salt_1_conc]],"0.###")&amp;" M "&amp;MainTbl[[#This Row],[SaltName1]],"")</f>
        <v>0.5 M LiAsF6</v>
      </c>
      <c r="BD28" t="str">
        <f>IF(AND(MainTbl[[#This Row],[SaltName2]]&lt;&gt;"",MainTbl[[#This Row],[salt_2_conc]]&gt;0),TEXT(MainTbl[[#This Row],[salt_2_conc]],"0.###")&amp;" M "&amp;MainTbl[[#This Row],[SaltName2]],"")</f>
        <v/>
      </c>
      <c r="BE2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0.5 M LiAsF6</v>
      </c>
      <c r="BF28" t="str">
        <f>IF(MainTbl[[#This Row],[SolvCount]]=1,MainTbl[[#This Row],[SolvName1]],IF(MainTbl[[#This Row],[solv_1_ratio]]&gt;0,MainTbl[[#This Row],[SolvName1]]&amp;" "&amp;TEXT(MainTbl[[#This Row],[solv_1_ratio]]*100,"0.##")&amp;"%",""))</f>
        <v>THF (C4H8O)</v>
      </c>
      <c r="BG28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2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THF (C4H8O)</v>
      </c>
      <c r="BJ28" t="str">
        <f>TRIM(_xlfn.CONCAT(MainTbl[[#This Row],[Salt_text]]," ",MainTbl[[#This Row],[Solvent_text]]))</f>
        <v>0.5 M LiAsF6 THF (C4H8O)</v>
      </c>
    </row>
    <row r="29" spans="1:62" x14ac:dyDescent="0.25">
      <c r="A29" t="s">
        <v>16</v>
      </c>
      <c r="B29" t="s">
        <v>40</v>
      </c>
      <c r="D29" t="s">
        <v>15</v>
      </c>
      <c r="G29">
        <v>0.75</v>
      </c>
      <c r="H29">
        <v>0.25</v>
      </c>
      <c r="I29">
        <v>0</v>
      </c>
      <c r="J29">
        <v>1.4</v>
      </c>
      <c r="K29">
        <v>0</v>
      </c>
      <c r="L29">
        <v>0.94499999999999995</v>
      </c>
      <c r="M29">
        <f t="shared" si="0"/>
        <v>94.5</v>
      </c>
      <c r="N29">
        <f t="shared" si="1"/>
        <v>1.2596373105057557</v>
      </c>
      <c r="O29">
        <f>IFERROR(MainTbl[[#This Row],[solv_1_ratio]]*VLOOKUP(MainTbl[[#This Row],[solvent_1_smiles]],SolvTbl[],13,FALSE),0)</f>
        <v>7.4451410658307218</v>
      </c>
      <c r="P29">
        <f>IFERROR(MainTbl[[#This Row],[solv_2_ratio]]*VLOOKUP(MainTbl[[#This Row],[solvent_2_smiles]],SolvTbl[],13,FALSE),0)</f>
        <v>1.9203810035911124</v>
      </c>
      <c r="Q29">
        <f>IFERROR(MainTbl[[#This Row],[solv_3_ratio]]*VLOOKUP(MainTbl[[#This Row],[solvent_3_smiles]],SolvTbl[],13,FALSE),0)</f>
        <v>0</v>
      </c>
      <c r="R29">
        <f>IFERROR(MainTbl[[#This Row],[salt_1_conc]],0)</f>
        <v>1.4</v>
      </c>
      <c r="S29">
        <f>IFERROR(MainTbl[[#This Row],[salt_2_conc]],0)</f>
        <v>0</v>
      </c>
      <c r="T2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11.285903073012946</v>
      </c>
      <c r="U2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29">
        <f>MainTbl[[#This Row],[O_from_solvents]]+MainTbl[[#This Row],[O_from_salts]]</f>
        <v>11.285903073012946</v>
      </c>
      <c r="W2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46.827610347109172</v>
      </c>
      <c r="X2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29">
        <f>MainTbl[[#This Row],[C_from_solvents]]+MainTbl[[#This Row],[C_from_salts]]</f>
        <v>46.827610347109172</v>
      </c>
      <c r="Z2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2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8.3999999999999986</v>
      </c>
      <c r="AB29">
        <f>MainTbl[[#This Row],[F_from_solvents]]+MainTbl[[#This Row],[F_from_salts]]</f>
        <v>8.3999999999999986</v>
      </c>
      <c r="AC2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97.495982701400578</v>
      </c>
      <c r="AD2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29">
        <f>MainTbl[[#This Row],[H_from_solvents]]+MainTbl[[#This Row],[H_from_salts]]</f>
        <v>97.495982701400578</v>
      </c>
      <c r="AF2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2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1.4</v>
      </c>
      <c r="AH29">
        <f>MainTbl[[#This Row],[Li_from_solvents]]+MainTbl[[#This Row],[Li_from_salts]]</f>
        <v>1.4</v>
      </c>
      <c r="AI2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166.80949612152267</v>
      </c>
      <c r="AJ29" s="2">
        <f>IFERROR(MainTbl[[#This Row],[O_total]]/MainTbl[[#This Row],[TotalAtoms_all]],0)</f>
        <v>6.7657437588511352E-2</v>
      </c>
      <c r="AK29" s="2">
        <f>IFERROR(MainTbl[[#This Row],[O_from_solvents]]/MainTbl[[#This Row],[TotalAtoms_all]],0)</f>
        <v>6.7657437588511352E-2</v>
      </c>
      <c r="AL29" s="2">
        <f>IFERROR(MainTbl[[#This Row],[O_from_salts]]/MainTbl[[#This Row],[TotalAtoms_all]],0)</f>
        <v>0</v>
      </c>
      <c r="AM29" s="2">
        <f>IFERROR(MainTbl[[#This Row],[C_total]]/MainTbl[[#This Row],[TotalAtoms_all]],0)</f>
        <v>0.28072508721562656</v>
      </c>
      <c r="AN29" s="2">
        <f>IFERROR(MainTbl[[#This Row],[C_from_solvents]]/MainTbl[[#This Row],[TotalAtoms_all]],0)</f>
        <v>0.28072508721562656</v>
      </c>
      <c r="AO29" s="2">
        <f>IFERROR(MainTbl[[#This Row],[C_from_salts]]/MainTbl[[#This Row],[TotalAtoms_all]],0)</f>
        <v>0</v>
      </c>
      <c r="AP29" s="2">
        <f>IFERROR(MainTbl[[#This Row],[F_total]]/MainTbl[[#This Row],[TotalAtoms_all]],0)</f>
        <v>5.0356845355377731E-2</v>
      </c>
      <c r="AQ29" s="2">
        <f>IFERROR(MainTbl[[#This Row],[F_from_solvents]]/MainTbl[[#This Row],[TotalAtoms_all]],0)</f>
        <v>0</v>
      </c>
      <c r="AR29" s="2">
        <f>IFERROR(MainTbl[[#This Row],[F_from_salts]]/MainTbl[[#This Row],[TotalAtoms_all]],0)</f>
        <v>5.0356845355377731E-2</v>
      </c>
      <c r="AS29" s="2">
        <f>IFERROR(MainTbl[[#This Row],[F_total]]/MainTbl[[#This Row],[O_total]],0)</f>
        <v>0.74429134697126975</v>
      </c>
      <c r="AT29" s="2">
        <f>IFERROR(MainTbl[[#This Row],[F_total]]/MainTbl[[#This Row],[C_total]],0)</f>
        <v>0.17938135082561521</v>
      </c>
      <c r="AU29" s="2">
        <f>IFERROR(MainTbl[[#This Row],[O_total]]/MainTbl[[#This Row],[C_total]],0)</f>
        <v>0.2410095879195267</v>
      </c>
      <c r="AV29" s="2">
        <f>IFERROR((MainTbl[[#This Row],[TotalAtoms_all]]-(MainTbl[[#This Row],[C_total]]+MainTbl[[#This Row],[H_total]]+MainTbl[[#This Row],[Li_total]]))/MainTbl[[#This Row],[C_total]],0)</f>
        <v>0.45028783054941079</v>
      </c>
      <c r="AW29" t="str">
        <f>IFERROR(VLOOKUP(MainTbl[[#This Row],[salt_1_smiles]],SaltTbl[],MATCH("Salt",SaltTbl[#Headers],0),FALSE),"")</f>
        <v>LiAsF6</v>
      </c>
      <c r="AX29" t="str">
        <f>IFERROR(VLOOKUP(MainTbl[[#This Row],[salt_2_smiles]],SaltTbl[],MATCH("Salt",SaltTbl[#Headers],0),FALSE),"")</f>
        <v/>
      </c>
      <c r="AY29" t="str">
        <f>IFERROR(VLOOKUP(MainTbl[[#This Row],[solvent_1_smiles]],SolvTbl[],MATCH("Solvent",SolvTbl[#Headers],0),FALSE),"")</f>
        <v>2-Methyltetrahydrofuran</v>
      </c>
      <c r="AZ29" t="str">
        <f>IFERROR(VLOOKUP(MainTbl[[#This Row],[solvent_2_smiles]],SolvTbl[],MATCH("Solvent",SolvTbl[#Headers],0),FALSE),"")</f>
        <v>1,3-Dimethoxypropane</v>
      </c>
      <c r="BA29" t="str">
        <f>IFERROR(VLOOKUP(MainTbl[[#This Row],[solvent_3_smiles]],SolvTbl[],MATCH("Solvent",SolvTbl[#Headers],0),FALSE),"")</f>
        <v/>
      </c>
      <c r="BB29">
        <f>--(MainTbl[[#This Row],[solv_1_ratio]]&gt;0)+--(MainTbl[[#This Row],[solv_2_ratio]]&gt;0)+--(MainTbl[[#This Row],[solv_3_ratio]]&gt;0)</f>
        <v>2</v>
      </c>
      <c r="BC29" t="str">
        <f>IF(AND(MainTbl[[#This Row],[SaltName1]]&lt;&gt;"",MainTbl[[#This Row],[salt_1_conc]]&gt;0),TEXT(MainTbl[[#This Row],[salt_1_conc]],"0.###")&amp;" M "&amp;MainTbl[[#This Row],[SaltName1]],"")</f>
        <v>1.4 M LiAsF6</v>
      </c>
      <c r="BD29" t="str">
        <f>IF(AND(MainTbl[[#This Row],[SaltName2]]&lt;&gt;"",MainTbl[[#This Row],[salt_2_conc]]&gt;0),TEXT(MainTbl[[#This Row],[salt_2_conc]],"0.###")&amp;" M "&amp;MainTbl[[#This Row],[SaltName2]],"")</f>
        <v/>
      </c>
      <c r="BE2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1.4 M LiAsF6</v>
      </c>
      <c r="BF29" t="str">
        <f>IF(MainTbl[[#This Row],[SolvCount]]=1,MainTbl[[#This Row],[SolvName1]],IF(MainTbl[[#This Row],[solv_1_ratio]]&gt;0,MainTbl[[#This Row],[SolvName1]]&amp;" "&amp;TEXT(MainTbl[[#This Row],[solv_1_ratio]]*100,"0.##")&amp;"%",""))</f>
        <v>2-Methyltetrahydrofuran 75.%</v>
      </c>
      <c r="BG29" t="str">
        <f>IF(MainTbl[[#This Row],[SolvCount]]=1,MainTbl[[#This Row],[SolvName2]],IF(MainTbl[[#This Row],[solv_2_ratio]]&gt;0,MainTbl[[#This Row],[SolvName2]]&amp;" "&amp;TEXT(MainTbl[[#This Row],[solv_2_ratio]]*100,"0.##")&amp;"%",""))</f>
        <v>1,3-Dimethoxypropane 25.%</v>
      </c>
      <c r="BH2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2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2-Methyltetrahydrofuran 75.% + 1,3-Dimethoxypropane 25.%</v>
      </c>
      <c r="BJ29" t="str">
        <f>TRIM(_xlfn.CONCAT(MainTbl[[#This Row],[Salt_text]]," ",MainTbl[[#This Row],[Solvent_text]]))</f>
        <v>1.4 M LiAsF6 2-Methyltetrahydrofuran 75.% + 1,3-Dimethoxypropane 25.%</v>
      </c>
    </row>
    <row r="30" spans="1:62" x14ac:dyDescent="0.25">
      <c r="A30" t="s">
        <v>16</v>
      </c>
      <c r="D30" t="s">
        <v>15</v>
      </c>
      <c r="G30">
        <v>1</v>
      </c>
      <c r="H30">
        <v>0</v>
      </c>
      <c r="I30">
        <v>0</v>
      </c>
      <c r="J30">
        <v>1.5</v>
      </c>
      <c r="K30">
        <v>0</v>
      </c>
      <c r="L30">
        <v>0.96799999999999997</v>
      </c>
      <c r="M30">
        <f t="shared" si="0"/>
        <v>96.8</v>
      </c>
      <c r="N30">
        <f t="shared" si="1"/>
        <v>1.4948500216800937</v>
      </c>
      <c r="O30">
        <f>IFERROR(MainTbl[[#This Row],[solv_1_ratio]]*VLOOKUP(MainTbl[[#This Row],[solvent_1_smiles]],SolvTbl[],13,FALSE),0)</f>
        <v>9.9268547544409618</v>
      </c>
      <c r="P30">
        <f>IFERROR(MainTbl[[#This Row],[solv_2_ratio]]*VLOOKUP(MainTbl[[#This Row],[solvent_2_smiles]],SolvTbl[],13,FALSE),0)</f>
        <v>0</v>
      </c>
      <c r="Q30">
        <f>IFERROR(MainTbl[[#This Row],[solv_3_ratio]]*VLOOKUP(MainTbl[[#This Row],[solvent_3_smiles]],SolvTbl[],13,FALSE),0)</f>
        <v>0</v>
      </c>
      <c r="R30">
        <f>IFERROR(MainTbl[[#This Row],[salt_1_conc]],0)</f>
        <v>1.5</v>
      </c>
      <c r="S30">
        <f>IFERROR(MainTbl[[#This Row],[salt_2_conc]],0)</f>
        <v>0</v>
      </c>
      <c r="T3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9.9268547544409618</v>
      </c>
      <c r="U3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0">
        <f>MainTbl[[#This Row],[O_from_solvents]]+MainTbl[[#This Row],[O_from_salts]]</f>
        <v>9.9268547544409618</v>
      </c>
      <c r="W3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49.634273772204807</v>
      </c>
      <c r="X3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0">
        <f>MainTbl[[#This Row],[C_from_solvents]]+MainTbl[[#This Row],[C_from_salts]]</f>
        <v>49.634273772204807</v>
      </c>
      <c r="Z3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9</v>
      </c>
      <c r="AB30">
        <f>MainTbl[[#This Row],[F_from_solvents]]+MainTbl[[#This Row],[F_from_salts]]</f>
        <v>9</v>
      </c>
      <c r="AC3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99.268547544409614</v>
      </c>
      <c r="AD3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0">
        <f>MainTbl[[#This Row],[H_from_solvents]]+MainTbl[[#This Row],[H_from_salts]]</f>
        <v>99.268547544409614</v>
      </c>
      <c r="AF3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1.5</v>
      </c>
      <c r="AH30">
        <f>MainTbl[[#This Row],[Li_from_solvents]]+MainTbl[[#This Row],[Li_from_salts]]</f>
        <v>1.5</v>
      </c>
      <c r="AI3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170.82967607105539</v>
      </c>
      <c r="AJ30" s="2">
        <f>IFERROR(MainTbl[[#This Row],[O_total]]/MainTbl[[#This Row],[TotalAtoms_all]],0)</f>
        <v>5.810966210760686E-2</v>
      </c>
      <c r="AK30" s="2">
        <f>IFERROR(MainTbl[[#This Row],[O_from_solvents]]/MainTbl[[#This Row],[TotalAtoms_all]],0)</f>
        <v>5.810966210760686E-2</v>
      </c>
      <c r="AL30" s="2">
        <f>IFERROR(MainTbl[[#This Row],[O_from_salts]]/MainTbl[[#This Row],[TotalAtoms_all]],0)</f>
        <v>0</v>
      </c>
      <c r="AM30" s="2">
        <f>IFERROR(MainTbl[[#This Row],[C_total]]/MainTbl[[#This Row],[TotalAtoms_all]],0)</f>
        <v>0.29054831053803432</v>
      </c>
      <c r="AN30" s="2">
        <f>IFERROR(MainTbl[[#This Row],[C_from_solvents]]/MainTbl[[#This Row],[TotalAtoms_all]],0)</f>
        <v>0.29054831053803432</v>
      </c>
      <c r="AO30" s="2">
        <f>IFERROR(MainTbl[[#This Row],[C_from_salts]]/MainTbl[[#This Row],[TotalAtoms_all]],0)</f>
        <v>0</v>
      </c>
      <c r="AP30" s="2">
        <f>IFERROR(MainTbl[[#This Row],[F_total]]/MainTbl[[#This Row],[TotalAtoms_all]],0)</f>
        <v>5.2684054708717669E-2</v>
      </c>
      <c r="AQ30" s="2">
        <f>IFERROR(MainTbl[[#This Row],[F_from_solvents]]/MainTbl[[#This Row],[TotalAtoms_all]],0)</f>
        <v>0</v>
      </c>
      <c r="AR30" s="2">
        <f>IFERROR(MainTbl[[#This Row],[F_from_salts]]/MainTbl[[#This Row],[TotalAtoms_all]],0)</f>
        <v>5.2684054708717669E-2</v>
      </c>
      <c r="AS30" s="2">
        <f>IFERROR(MainTbl[[#This Row],[F_total]]/MainTbl[[#This Row],[O_total]],0)</f>
        <v>0.90663157894736834</v>
      </c>
      <c r="AT30" s="2">
        <f>IFERROR(MainTbl[[#This Row],[F_total]]/MainTbl[[#This Row],[C_total]],0)</f>
        <v>0.1813263157894737</v>
      </c>
      <c r="AU30" s="2">
        <f>IFERROR(MainTbl[[#This Row],[O_total]]/MainTbl[[#This Row],[C_total]],0)</f>
        <v>0.2</v>
      </c>
      <c r="AV30" s="2">
        <f>IFERROR((MainTbl[[#This Row],[TotalAtoms_all]]-(MainTbl[[#This Row],[C_total]]+MainTbl[[#This Row],[H_total]]+MainTbl[[#This Row],[Li_total]]))/MainTbl[[#This Row],[C_total]],0)</f>
        <v>0.41154736842105272</v>
      </c>
      <c r="AW30" t="str">
        <f>IFERROR(VLOOKUP(MainTbl[[#This Row],[salt_1_smiles]],SaltTbl[],MATCH("Salt",SaltTbl[#Headers],0),FALSE),"")</f>
        <v>LiAsF6</v>
      </c>
      <c r="AX30" t="str">
        <f>IFERROR(VLOOKUP(MainTbl[[#This Row],[salt_2_smiles]],SaltTbl[],MATCH("Salt",SaltTbl[#Headers],0),FALSE),"")</f>
        <v/>
      </c>
      <c r="AY30" t="str">
        <f>IFERROR(VLOOKUP(MainTbl[[#This Row],[solvent_1_smiles]],SolvTbl[],MATCH("Solvent",SolvTbl[#Headers],0),FALSE),"")</f>
        <v>2-Methyltetrahydrofuran</v>
      </c>
      <c r="AZ30" t="str">
        <f>IFERROR(VLOOKUP(MainTbl[[#This Row],[solvent_2_smiles]],SolvTbl[],MATCH("Solvent",SolvTbl[#Headers],0),FALSE),"")</f>
        <v/>
      </c>
      <c r="BA30" t="str">
        <f>IFERROR(VLOOKUP(MainTbl[[#This Row],[solvent_3_smiles]],SolvTbl[],MATCH("Solvent",SolvTbl[#Headers],0),FALSE),"")</f>
        <v/>
      </c>
      <c r="BB30">
        <f>--(MainTbl[[#This Row],[solv_1_ratio]]&gt;0)+--(MainTbl[[#This Row],[solv_2_ratio]]&gt;0)+--(MainTbl[[#This Row],[solv_3_ratio]]&gt;0)</f>
        <v>1</v>
      </c>
      <c r="BC30" t="str">
        <f>IF(AND(MainTbl[[#This Row],[SaltName1]]&lt;&gt;"",MainTbl[[#This Row],[salt_1_conc]]&gt;0),TEXT(MainTbl[[#This Row],[salt_1_conc]],"0.###")&amp;" M "&amp;MainTbl[[#This Row],[SaltName1]],"")</f>
        <v>1.5 M LiAsF6</v>
      </c>
      <c r="BD30" t="str">
        <f>IF(AND(MainTbl[[#This Row],[SaltName2]]&lt;&gt;"",MainTbl[[#This Row],[salt_2_conc]]&gt;0),TEXT(MainTbl[[#This Row],[salt_2_conc]],"0.###")&amp;" M "&amp;MainTbl[[#This Row],[SaltName2]],"")</f>
        <v/>
      </c>
      <c r="BE3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1.5 M LiAsF6</v>
      </c>
      <c r="BF30" t="str">
        <f>IF(MainTbl[[#This Row],[SolvCount]]=1,MainTbl[[#This Row],[SolvName1]],IF(MainTbl[[#This Row],[solv_1_ratio]]&gt;0,MainTbl[[#This Row],[SolvName1]]&amp;" "&amp;TEXT(MainTbl[[#This Row],[solv_1_ratio]]*100,"0.##")&amp;"%",""))</f>
        <v>2-Methyltetrahydrofuran</v>
      </c>
      <c r="BG30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3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2-Methyltetrahydrofuran</v>
      </c>
      <c r="BJ30" t="str">
        <f>TRIM(_xlfn.CONCAT(MainTbl[[#This Row],[Salt_text]]," ",MainTbl[[#This Row],[Solvent_text]]))</f>
        <v>1.5 M LiAsF6 2-Methyltetrahydrofuran</v>
      </c>
    </row>
    <row r="31" spans="1:62" x14ac:dyDescent="0.25">
      <c r="A31" t="s">
        <v>19</v>
      </c>
      <c r="B31" t="s">
        <v>12</v>
      </c>
      <c r="D31" t="s">
        <v>15</v>
      </c>
      <c r="G31">
        <v>0.428571429</v>
      </c>
      <c r="H31">
        <v>0.571428571</v>
      </c>
      <c r="I31">
        <v>0</v>
      </c>
      <c r="J31">
        <v>1.5</v>
      </c>
      <c r="K31">
        <v>0</v>
      </c>
      <c r="L31">
        <v>0.97</v>
      </c>
      <c r="M31">
        <f t="shared" si="0"/>
        <v>97</v>
      </c>
      <c r="N31">
        <f t="shared" si="1"/>
        <v>1.5228787452803372</v>
      </c>
      <c r="O31">
        <f>IFERROR(MainTbl[[#This Row],[solv_1_ratio]]*VLOOKUP(MainTbl[[#This Row],[solvent_1_smiles]],SolvTbl[],13,FALSE),0)</f>
        <v>6.4240454030115153</v>
      </c>
      <c r="P31">
        <f>IFERROR(MainTbl[[#This Row],[solv_2_ratio]]*VLOOKUP(MainTbl[[#This Row],[solvent_2_smiles]],SolvTbl[],13,FALSE),0)</f>
        <v>6.7168941031267151</v>
      </c>
      <c r="Q31">
        <f>IFERROR(MainTbl[[#This Row],[solv_3_ratio]]*VLOOKUP(MainTbl[[#This Row],[solvent_3_smiles]],SolvTbl[],13,FALSE),0)</f>
        <v>0</v>
      </c>
      <c r="R31">
        <f>IFERROR(MainTbl[[#This Row],[salt_1_conc]],0)</f>
        <v>1.5</v>
      </c>
      <c r="S31">
        <f>IFERROR(MainTbl[[#This Row],[salt_2_conc]],0)</f>
        <v>0</v>
      </c>
      <c r="T3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39.422818518414687</v>
      </c>
      <c r="U3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1">
        <f>MainTbl[[#This Row],[O_from_solvents]]+MainTbl[[#This Row],[O_from_salts]]</f>
        <v>39.422818518414687</v>
      </c>
      <c r="W3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46.139712621541406</v>
      </c>
      <c r="X3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1">
        <f>MainTbl[[#This Row],[C_from_solvents]]+MainTbl[[#This Row],[C_from_salts]]</f>
        <v>46.139712621541406</v>
      </c>
      <c r="Z3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9</v>
      </c>
      <c r="AB31">
        <f>MainTbl[[#This Row],[F_from_solvents]]+MainTbl[[#This Row],[F_from_salts]]</f>
        <v>9</v>
      </c>
      <c r="AC3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65.99754623080635</v>
      </c>
      <c r="AD3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1">
        <f>MainTbl[[#This Row],[H_from_solvents]]+MainTbl[[#This Row],[H_from_salts]]</f>
        <v>65.99754623080635</v>
      </c>
      <c r="AF3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1.5</v>
      </c>
      <c r="AH31">
        <f>MainTbl[[#This Row],[Li_from_solvents]]+MainTbl[[#This Row],[Li_from_salts]]</f>
        <v>1.5</v>
      </c>
      <c r="AI3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163.56007737076246</v>
      </c>
      <c r="AJ31" s="2">
        <f>IFERROR(MainTbl[[#This Row],[O_total]]/MainTbl[[#This Row],[TotalAtoms_all]],0)</f>
        <v>0.24102959079097255</v>
      </c>
      <c r="AK31" s="2">
        <f>IFERROR(MainTbl[[#This Row],[O_from_solvents]]/MainTbl[[#This Row],[TotalAtoms_all]],0)</f>
        <v>0.24102959079097255</v>
      </c>
      <c r="AL31" s="2">
        <f>IFERROR(MainTbl[[#This Row],[O_from_salts]]/MainTbl[[#This Row],[TotalAtoms_all]],0)</f>
        <v>0</v>
      </c>
      <c r="AM31" s="2">
        <f>IFERROR(MainTbl[[#This Row],[C_total]]/MainTbl[[#This Row],[TotalAtoms_all]],0)</f>
        <v>0.28209642208074187</v>
      </c>
      <c r="AN31" s="2">
        <f>IFERROR(MainTbl[[#This Row],[C_from_solvents]]/MainTbl[[#This Row],[TotalAtoms_all]],0)</f>
        <v>0.28209642208074187</v>
      </c>
      <c r="AO31" s="2">
        <f>IFERROR(MainTbl[[#This Row],[C_from_salts]]/MainTbl[[#This Row],[TotalAtoms_all]],0)</f>
        <v>0</v>
      </c>
      <c r="AP31" s="2">
        <f>IFERROR(MainTbl[[#This Row],[F_total]]/MainTbl[[#This Row],[TotalAtoms_all]],0)</f>
        <v>5.5025652620587562E-2</v>
      </c>
      <c r="AQ31" s="2">
        <f>IFERROR(MainTbl[[#This Row],[F_from_solvents]]/MainTbl[[#This Row],[TotalAtoms_all]],0)</f>
        <v>0</v>
      </c>
      <c r="AR31" s="2">
        <f>IFERROR(MainTbl[[#This Row],[F_from_salts]]/MainTbl[[#This Row],[TotalAtoms_all]],0)</f>
        <v>5.5025652620587562E-2</v>
      </c>
      <c r="AS31" s="2">
        <f>IFERROR(MainTbl[[#This Row],[F_total]]/MainTbl[[#This Row],[O_total]],0)</f>
        <v>0.22829417931637827</v>
      </c>
      <c r="AT31" s="2">
        <f>IFERROR(MainTbl[[#This Row],[F_total]]/MainTbl[[#This Row],[C_total]],0)</f>
        <v>0.19505973246565345</v>
      </c>
      <c r="AU31" s="2">
        <f>IFERROR(MainTbl[[#This Row],[O_total]]/MainTbl[[#This Row],[C_total]],0)</f>
        <v>0.8544227148048863</v>
      </c>
      <c r="AV31" s="2">
        <f>IFERROR((MainTbl[[#This Row],[TotalAtoms_all]]-(MainTbl[[#This Row],[C_total]]+MainTbl[[#This Row],[H_total]]+MainTbl[[#This Row],[Li_total]]))/MainTbl[[#This Row],[C_total]],0)</f>
        <v>1.0819924026814822</v>
      </c>
      <c r="AW31" t="str">
        <f>IFERROR(VLOOKUP(MainTbl[[#This Row],[salt_1_smiles]],SaltTbl[],MATCH("Salt",SaltTbl[#Headers],0),FALSE),"")</f>
        <v>LiAsF6</v>
      </c>
      <c r="AX31" t="str">
        <f>IFERROR(VLOOKUP(MainTbl[[#This Row],[salt_2_smiles]],SaltTbl[],MATCH("Salt",SaltTbl[#Headers],0),FALSE),"")</f>
        <v/>
      </c>
      <c r="AY31" t="str">
        <f>IFERROR(VLOOKUP(MainTbl[[#This Row],[solvent_1_smiles]],SolvTbl[],MATCH("Solvent",SolvTbl[#Headers],0),FALSE),"")</f>
        <v>Ethylene carbonate</v>
      </c>
      <c r="AZ31" t="str">
        <f>IFERROR(VLOOKUP(MainTbl[[#This Row],[solvent_2_smiles]],SolvTbl[],MATCH("Solvent",SolvTbl[#Headers],0),FALSE),"")</f>
        <v>PC (C4H6O3)</v>
      </c>
      <c r="BA31" t="str">
        <f>IFERROR(VLOOKUP(MainTbl[[#This Row],[solvent_3_smiles]],SolvTbl[],MATCH("Solvent",SolvTbl[#Headers],0),FALSE),"")</f>
        <v/>
      </c>
      <c r="BB31">
        <f>--(MainTbl[[#This Row],[solv_1_ratio]]&gt;0)+--(MainTbl[[#This Row],[solv_2_ratio]]&gt;0)+--(MainTbl[[#This Row],[solv_3_ratio]]&gt;0)</f>
        <v>2</v>
      </c>
      <c r="BC31" t="str">
        <f>IF(AND(MainTbl[[#This Row],[SaltName1]]&lt;&gt;"",MainTbl[[#This Row],[salt_1_conc]]&gt;0),TEXT(MainTbl[[#This Row],[salt_1_conc]],"0.###")&amp;" M "&amp;MainTbl[[#This Row],[SaltName1]],"")</f>
        <v>1.5 M LiAsF6</v>
      </c>
      <c r="BD31" t="str">
        <f>IF(AND(MainTbl[[#This Row],[SaltName2]]&lt;&gt;"",MainTbl[[#This Row],[salt_2_conc]]&gt;0),TEXT(MainTbl[[#This Row],[salt_2_conc]],"0.###")&amp;" M "&amp;MainTbl[[#This Row],[SaltName2]],"")</f>
        <v/>
      </c>
      <c r="BE3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1.5 M LiAsF6</v>
      </c>
      <c r="BF31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42.86%</v>
      </c>
      <c r="BG31" t="str">
        <f>IF(MainTbl[[#This Row],[SolvCount]]=1,MainTbl[[#This Row],[SolvName2]],IF(MainTbl[[#This Row],[solv_2_ratio]]&gt;0,MainTbl[[#This Row],[SolvName2]]&amp;" "&amp;TEXT(MainTbl[[#This Row],[solv_2_ratio]]*100,"0.##")&amp;"%",""))</f>
        <v>PC (C4H6O3) 57.14%</v>
      </c>
      <c r="BH3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42.86% + PC (C4H6O3) 57.14%</v>
      </c>
      <c r="BJ31" t="str">
        <f>TRIM(_xlfn.CONCAT(MainTbl[[#This Row],[Salt_text]]," ",MainTbl[[#This Row],[Solvent_text]]))</f>
        <v>1.5 M LiAsF6 Ethylene carbonate 42.86% + PC (C4H6O3) 57.14%</v>
      </c>
    </row>
    <row r="32" spans="1:62" x14ac:dyDescent="0.25">
      <c r="A32" t="s">
        <v>21</v>
      </c>
      <c r="D32" t="s">
        <v>15</v>
      </c>
      <c r="G32">
        <v>1</v>
      </c>
      <c r="H32">
        <v>0</v>
      </c>
      <c r="I32">
        <v>0</v>
      </c>
      <c r="J32">
        <v>1.5</v>
      </c>
      <c r="K32">
        <v>0</v>
      </c>
      <c r="L32">
        <v>0.97499999999999998</v>
      </c>
      <c r="M32">
        <f t="shared" si="0"/>
        <v>97.5</v>
      </c>
      <c r="N32">
        <f t="shared" si="1"/>
        <v>1.6020599913279621</v>
      </c>
      <c r="O32">
        <f>IFERROR(MainTbl[[#This Row],[solv_1_ratio]]*VLOOKUP(MainTbl[[#This Row],[solvent_1_smiles]],SolvTbl[],13,FALSE),0)</f>
        <v>11.301810918075013</v>
      </c>
      <c r="P32">
        <f>IFERROR(MainTbl[[#This Row],[solv_2_ratio]]*VLOOKUP(MainTbl[[#This Row],[solvent_2_smiles]],SolvTbl[],13,FALSE),0)</f>
        <v>0</v>
      </c>
      <c r="Q32">
        <f>IFERROR(MainTbl[[#This Row],[solv_3_ratio]]*VLOOKUP(MainTbl[[#This Row],[solvent_3_smiles]],SolvTbl[],13,FALSE),0)</f>
        <v>0</v>
      </c>
      <c r="R32">
        <f>IFERROR(MainTbl[[#This Row],[salt_1_conc]],0)</f>
        <v>1.5</v>
      </c>
      <c r="S32">
        <f>IFERROR(MainTbl[[#This Row],[salt_2_conc]],0)</f>
        <v>0</v>
      </c>
      <c r="T3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22.603621836150026</v>
      </c>
      <c r="U3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2">
        <f>MainTbl[[#This Row],[O_from_solvents]]+MainTbl[[#This Row],[O_from_salts]]</f>
        <v>22.603621836150026</v>
      </c>
      <c r="W3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33.905432754225039</v>
      </c>
      <c r="X3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2">
        <f>MainTbl[[#This Row],[C_from_solvents]]+MainTbl[[#This Row],[C_from_salts]]</f>
        <v>33.905432754225039</v>
      </c>
      <c r="Z3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9</v>
      </c>
      <c r="AB32">
        <f>MainTbl[[#This Row],[F_from_solvents]]+MainTbl[[#This Row],[F_from_salts]]</f>
        <v>9</v>
      </c>
      <c r="AC3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90.414487344600104</v>
      </c>
      <c r="AD3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2">
        <f>MainTbl[[#This Row],[H_from_solvents]]+MainTbl[[#This Row],[H_from_salts]]</f>
        <v>90.414487344600104</v>
      </c>
      <c r="AF3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1.5</v>
      </c>
      <c r="AH32">
        <f>MainTbl[[#This Row],[Li_from_solvents]]+MainTbl[[#This Row],[Li_from_salts]]</f>
        <v>1.5</v>
      </c>
      <c r="AI3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158.92354193497516</v>
      </c>
      <c r="AJ32" s="2">
        <f>IFERROR(MainTbl[[#This Row],[O_total]]/MainTbl[[#This Row],[TotalAtoms_all]],0)</f>
        <v>0.14222953730416152</v>
      </c>
      <c r="AK32" s="2">
        <f>IFERROR(MainTbl[[#This Row],[O_from_solvents]]/MainTbl[[#This Row],[TotalAtoms_all]],0)</f>
        <v>0.14222953730416152</v>
      </c>
      <c r="AL32" s="2">
        <f>IFERROR(MainTbl[[#This Row],[O_from_salts]]/MainTbl[[#This Row],[TotalAtoms_all]],0)</f>
        <v>0</v>
      </c>
      <c r="AM32" s="2">
        <f>IFERROR(MainTbl[[#This Row],[C_total]]/MainTbl[[#This Row],[TotalAtoms_all]],0)</f>
        <v>0.21334430595624226</v>
      </c>
      <c r="AN32" s="2">
        <f>IFERROR(MainTbl[[#This Row],[C_from_solvents]]/MainTbl[[#This Row],[TotalAtoms_all]],0)</f>
        <v>0.21334430595624226</v>
      </c>
      <c r="AO32" s="2">
        <f>IFERROR(MainTbl[[#This Row],[C_from_salts]]/MainTbl[[#This Row],[TotalAtoms_all]],0)</f>
        <v>0</v>
      </c>
      <c r="AP32" s="2">
        <f>IFERROR(MainTbl[[#This Row],[F_total]]/MainTbl[[#This Row],[TotalAtoms_all]],0)</f>
        <v>5.663100564221267E-2</v>
      </c>
      <c r="AQ32" s="2">
        <f>IFERROR(MainTbl[[#This Row],[F_from_solvents]]/MainTbl[[#This Row],[TotalAtoms_all]],0)</f>
        <v>0</v>
      </c>
      <c r="AR32" s="2">
        <f>IFERROR(MainTbl[[#This Row],[F_from_salts]]/MainTbl[[#This Row],[TotalAtoms_all]],0)</f>
        <v>5.663100564221267E-2</v>
      </c>
      <c r="AS32" s="2">
        <f>IFERROR(MainTbl[[#This Row],[F_total]]/MainTbl[[#This Row],[O_total]],0)</f>
        <v>0.39816627906976743</v>
      </c>
      <c r="AT32" s="2">
        <f>IFERROR(MainTbl[[#This Row],[F_total]]/MainTbl[[#This Row],[C_total]],0)</f>
        <v>0.2654441860465116</v>
      </c>
      <c r="AU32" s="2">
        <f>IFERROR(MainTbl[[#This Row],[O_total]]/MainTbl[[#This Row],[C_total]],0)</f>
        <v>0.66666666666666663</v>
      </c>
      <c r="AV32" s="2">
        <f>IFERROR((MainTbl[[#This Row],[TotalAtoms_all]]-(MainTbl[[#This Row],[C_total]]+MainTbl[[#This Row],[H_total]]+MainTbl[[#This Row],[Li_total]]))/MainTbl[[#This Row],[C_total]],0)</f>
        <v>0.97635155038759647</v>
      </c>
      <c r="AW32" t="str">
        <f>IFERROR(VLOOKUP(MainTbl[[#This Row],[salt_1_smiles]],SaltTbl[],MATCH("Salt",SaltTbl[#Headers],0),FALSE),"")</f>
        <v>LiAsF6</v>
      </c>
      <c r="AX32" t="str">
        <f>IFERROR(VLOOKUP(MainTbl[[#This Row],[salt_2_smiles]],SaltTbl[],MATCH("Salt",SaltTbl[#Headers],0),FALSE),"")</f>
        <v/>
      </c>
      <c r="AY32" t="str">
        <f>IFERROR(VLOOKUP(MainTbl[[#This Row],[solvent_1_smiles]],SolvTbl[],MATCH("Solvent",SolvTbl[#Headers],0),FALSE),"")</f>
        <v>Dimethoxymethane</v>
      </c>
      <c r="AZ32" t="str">
        <f>IFERROR(VLOOKUP(MainTbl[[#This Row],[solvent_2_smiles]],SolvTbl[],MATCH("Solvent",SolvTbl[#Headers],0),FALSE),"")</f>
        <v/>
      </c>
      <c r="BA32" t="str">
        <f>IFERROR(VLOOKUP(MainTbl[[#This Row],[solvent_3_smiles]],SolvTbl[],MATCH("Solvent",SolvTbl[#Headers],0),FALSE),"")</f>
        <v/>
      </c>
      <c r="BB32">
        <f>--(MainTbl[[#This Row],[solv_1_ratio]]&gt;0)+--(MainTbl[[#This Row],[solv_2_ratio]]&gt;0)+--(MainTbl[[#This Row],[solv_3_ratio]]&gt;0)</f>
        <v>1</v>
      </c>
      <c r="BC32" t="str">
        <f>IF(AND(MainTbl[[#This Row],[SaltName1]]&lt;&gt;"",MainTbl[[#This Row],[salt_1_conc]]&gt;0),TEXT(MainTbl[[#This Row],[salt_1_conc]],"0.###")&amp;" M "&amp;MainTbl[[#This Row],[SaltName1]],"")</f>
        <v>1.5 M LiAsF6</v>
      </c>
      <c r="BD32" t="str">
        <f>IF(AND(MainTbl[[#This Row],[SaltName2]]&lt;&gt;"",MainTbl[[#This Row],[salt_2_conc]]&gt;0),TEXT(MainTbl[[#This Row],[salt_2_conc]],"0.###")&amp;" M "&amp;MainTbl[[#This Row],[SaltName2]],"")</f>
        <v/>
      </c>
      <c r="BE3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1.5 M LiAsF6</v>
      </c>
      <c r="BF32" t="str">
        <f>IF(MainTbl[[#This Row],[SolvCount]]=1,MainTbl[[#This Row],[SolvName1]],IF(MainTbl[[#This Row],[solv_1_ratio]]&gt;0,MainTbl[[#This Row],[SolvName1]]&amp;" "&amp;TEXT(MainTbl[[#This Row],[solv_1_ratio]]*100,"0.##")&amp;"%",""))</f>
        <v>Dimethoxymethane</v>
      </c>
      <c r="BG32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3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Dimethoxymethane</v>
      </c>
      <c r="BJ32" t="str">
        <f>TRIM(_xlfn.CONCAT(MainTbl[[#This Row],[Salt_text]]," ",MainTbl[[#This Row],[Solvent_text]]))</f>
        <v>1.5 M LiAsF6 Dimethoxymethane</v>
      </c>
    </row>
    <row r="33" spans="1:62" x14ac:dyDescent="0.25">
      <c r="A33" t="s">
        <v>19</v>
      </c>
      <c r="B33" t="s">
        <v>27</v>
      </c>
      <c r="D33" t="s">
        <v>29</v>
      </c>
      <c r="F33" t="s">
        <v>41</v>
      </c>
      <c r="G33">
        <v>0.5</v>
      </c>
      <c r="H33">
        <v>0.5</v>
      </c>
      <c r="I33">
        <v>0</v>
      </c>
      <c r="J33">
        <v>1</v>
      </c>
      <c r="K33">
        <v>0</v>
      </c>
      <c r="L33">
        <v>0.8</v>
      </c>
      <c r="M33">
        <f t="shared" si="0"/>
        <v>80</v>
      </c>
      <c r="N33">
        <f t="shared" si="1"/>
        <v>0.69897000433601886</v>
      </c>
      <c r="O33">
        <f>IFERROR(MainTbl[[#This Row],[solv_1_ratio]]*VLOOKUP(MainTbl[[#This Row],[solvent_1_smiles]],SolvTbl[],13,FALSE),0)</f>
        <v>7.4947196293520486</v>
      </c>
      <c r="P33">
        <f>IFERROR(MainTbl[[#This Row],[solv_2_ratio]]*VLOOKUP(MainTbl[[#This Row],[solvent_2_smiles]],SolvTbl[],13,FALSE),0)</f>
        <v>5.9392970536646015</v>
      </c>
      <c r="Q33">
        <f>IFERROR(MainTbl[[#This Row],[solv_3_ratio]]*VLOOKUP(MainTbl[[#This Row],[solvent_3_smiles]],SolvTbl[],13,FALSE),0)</f>
        <v>0</v>
      </c>
      <c r="R33">
        <f>IFERROR(MainTbl[[#This Row],[salt_1_conc]],0)</f>
        <v>1</v>
      </c>
      <c r="S33">
        <f>IFERROR(MainTbl[[#This Row],[salt_2_conc]],0)</f>
        <v>0</v>
      </c>
      <c r="T3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40.302050049049953</v>
      </c>
      <c r="U3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3">
        <f>MainTbl[[#This Row],[O_from_solvents]]+MainTbl[[#This Row],[O_from_salts]]</f>
        <v>40.302050049049953</v>
      </c>
      <c r="W3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40.302050049049953</v>
      </c>
      <c r="X3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3">
        <f>MainTbl[[#This Row],[C_from_solvents]]+MainTbl[[#This Row],[C_from_salts]]</f>
        <v>40.302050049049953</v>
      </c>
      <c r="Z3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33">
        <f>MainTbl[[#This Row],[F_from_solvents]]+MainTbl[[#This Row],[F_from_salts]]</f>
        <v>6</v>
      </c>
      <c r="AC3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65.614660839395796</v>
      </c>
      <c r="AD3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3">
        <f>MainTbl[[#This Row],[H_from_solvents]]+MainTbl[[#This Row],[H_from_salts]]</f>
        <v>65.614660839395796</v>
      </c>
      <c r="AF3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33">
        <f>MainTbl[[#This Row],[Li_from_solvents]]+MainTbl[[#This Row],[Li_from_salts]]</f>
        <v>1</v>
      </c>
      <c r="AI3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154.21876093749569</v>
      </c>
      <c r="AJ33" s="2">
        <f>IFERROR(MainTbl[[#This Row],[O_total]]/MainTbl[[#This Row],[TotalAtoms_all]],0)</f>
        <v>0.26133039718419365</v>
      </c>
      <c r="AK33" s="2">
        <f>IFERROR(MainTbl[[#This Row],[O_from_solvents]]/MainTbl[[#This Row],[TotalAtoms_all]],0)</f>
        <v>0.26133039718419365</v>
      </c>
      <c r="AL33" s="2">
        <f>IFERROR(MainTbl[[#This Row],[O_from_salts]]/MainTbl[[#This Row],[TotalAtoms_all]],0)</f>
        <v>0</v>
      </c>
      <c r="AM33" s="2">
        <f>IFERROR(MainTbl[[#This Row],[C_total]]/MainTbl[[#This Row],[TotalAtoms_all]],0)</f>
        <v>0.26133039718419365</v>
      </c>
      <c r="AN33" s="2">
        <f>IFERROR(MainTbl[[#This Row],[C_from_solvents]]/MainTbl[[#This Row],[TotalAtoms_all]],0)</f>
        <v>0.26133039718419365</v>
      </c>
      <c r="AO33" s="2">
        <f>IFERROR(MainTbl[[#This Row],[C_from_salts]]/MainTbl[[#This Row],[TotalAtoms_all]],0)</f>
        <v>0</v>
      </c>
      <c r="AP33" s="2">
        <f>IFERROR(MainTbl[[#This Row],[F_total]]/MainTbl[[#This Row],[TotalAtoms_all]],0)</f>
        <v>3.8905772316714299E-2</v>
      </c>
      <c r="AQ33" s="2">
        <f>IFERROR(MainTbl[[#This Row],[F_from_solvents]]/MainTbl[[#This Row],[TotalAtoms_all]],0)</f>
        <v>0</v>
      </c>
      <c r="AR33" s="2">
        <f>IFERROR(MainTbl[[#This Row],[F_from_salts]]/MainTbl[[#This Row],[TotalAtoms_all]],0)</f>
        <v>3.8905772316714299E-2</v>
      </c>
      <c r="AS33" s="2">
        <f>IFERROR(MainTbl[[#This Row],[F_total]]/MainTbl[[#This Row],[O_total]],0)</f>
        <v>0.1488758014219537</v>
      </c>
      <c r="AT33" s="2">
        <f>IFERROR(MainTbl[[#This Row],[F_total]]/MainTbl[[#This Row],[C_total]],0)</f>
        <v>0.1488758014219537</v>
      </c>
      <c r="AU33" s="2">
        <f>IFERROR(MainTbl[[#This Row],[O_total]]/MainTbl[[#This Row],[C_total]],0)</f>
        <v>1</v>
      </c>
      <c r="AV33" s="2">
        <f>IFERROR((MainTbl[[#This Row],[TotalAtoms_all]]-(MainTbl[[#This Row],[C_total]]+MainTbl[[#This Row],[H_total]]+MainTbl[[#This Row],[Li_total]]))/MainTbl[[#This Row],[C_total]],0)</f>
        <v>1.1736884349922789</v>
      </c>
      <c r="AW33" t="str">
        <f>IFERROR(VLOOKUP(MainTbl[[#This Row],[salt_1_smiles]],SaltTbl[],MATCH("Salt",SaltTbl[#Headers],0),FALSE),"")</f>
        <v>LiPF6</v>
      </c>
      <c r="AX33" t="str">
        <f>IFERROR(VLOOKUP(MainTbl[[#This Row],[salt_2_smiles]],SaltTbl[],MATCH("Salt",SaltTbl[#Headers],0),FALSE),"")</f>
        <v/>
      </c>
      <c r="AY33" t="str">
        <f>IFERROR(VLOOKUP(MainTbl[[#This Row],[solvent_1_smiles]],SolvTbl[],MATCH("Solvent",SolvTbl[#Headers],0),FALSE),"")</f>
        <v>Ethylene carbonate</v>
      </c>
      <c r="AZ33" t="str">
        <f>IFERROR(VLOOKUP(MainTbl[[#This Row],[solvent_2_smiles]],SolvTbl[],MATCH("Solvent",SolvTbl[#Headers],0),FALSE),"")</f>
        <v>DMC (C3H6O3)</v>
      </c>
      <c r="BA33" t="str">
        <f>IFERROR(VLOOKUP(MainTbl[[#This Row],[solvent_3_smiles]],SolvTbl[],MATCH("Solvent",SolvTbl[#Headers],0),FALSE),"")</f>
        <v/>
      </c>
      <c r="BB33">
        <f>--(MainTbl[[#This Row],[solv_1_ratio]]&gt;0)+--(MainTbl[[#This Row],[solv_2_ratio]]&gt;0)+--(MainTbl[[#This Row],[solv_3_ratio]]&gt;0)</f>
        <v>2</v>
      </c>
      <c r="BC33" t="str">
        <f>IF(AND(MainTbl[[#This Row],[SaltName1]]&lt;&gt;"",MainTbl[[#This Row],[salt_1_conc]]&gt;0),TEXT(MainTbl[[#This Row],[salt_1_conc]],"0.###")&amp;" M "&amp;MainTbl[[#This Row],[SaltName1]],"")</f>
        <v>1. M LiPF6</v>
      </c>
      <c r="BD33" t="str">
        <f>IF(AND(MainTbl[[#This Row],[SaltName2]]&lt;&gt;"",MainTbl[[#This Row],[salt_2_conc]]&gt;0),TEXT(MainTbl[[#This Row],[salt_2_conc]],"0.###")&amp;" M "&amp;MainTbl[[#This Row],[SaltName2]],"")</f>
        <v/>
      </c>
      <c r="BE3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33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33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3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DMC (C3H6O3) 50.%</v>
      </c>
      <c r="BJ33" t="str">
        <f>TRIM(_xlfn.CONCAT(MainTbl[[#This Row],[Salt_text]]," ",MainTbl[[#This Row],[Solvent_text]]))</f>
        <v>1. M LiPF6 Ethylene carbonate 50.% + DMC (C3H6O3) 50.%</v>
      </c>
    </row>
    <row r="34" spans="1:62" x14ac:dyDescent="0.25">
      <c r="A34" t="s">
        <v>19</v>
      </c>
      <c r="B34" t="s">
        <v>38</v>
      </c>
      <c r="D34" t="s">
        <v>29</v>
      </c>
      <c r="G34">
        <v>0.21739130400000001</v>
      </c>
      <c r="H34">
        <v>0.78260869600000005</v>
      </c>
      <c r="I34">
        <v>0</v>
      </c>
      <c r="J34">
        <v>1</v>
      </c>
      <c r="K34">
        <v>0</v>
      </c>
      <c r="L34">
        <v>0.82</v>
      </c>
      <c r="M34">
        <f t="shared" si="0"/>
        <v>82</v>
      </c>
      <c r="N34">
        <f t="shared" si="1"/>
        <v>0.74472749489669376</v>
      </c>
      <c r="O34">
        <f>IFERROR(MainTbl[[#This Row],[solv_1_ratio]]*VLOOKUP(MainTbl[[#This Row],[solvent_1_smiles]],SolvTbl[],13,FALSE),0)</f>
        <v>3.258573746678477</v>
      </c>
      <c r="P34">
        <f>IFERROR(MainTbl[[#This Row],[solv_2_ratio]]*VLOOKUP(MainTbl[[#This Row],[solvent_2_smiles]],SolvTbl[],13,FALSE),0)</f>
        <v>7.5626714456312918</v>
      </c>
      <c r="Q34">
        <f>IFERROR(MainTbl[[#This Row],[solv_3_ratio]]*VLOOKUP(MainTbl[[#This Row],[solvent_3_smiles]],SolvTbl[],13,FALSE),0)</f>
        <v>0</v>
      </c>
      <c r="R34">
        <f>IFERROR(MainTbl[[#This Row],[salt_1_conc]],0)</f>
        <v>1</v>
      </c>
      <c r="S34">
        <f>IFERROR(MainTbl[[#This Row],[salt_2_conc]],0)</f>
        <v>0</v>
      </c>
      <c r="T3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32.463735576929309</v>
      </c>
      <c r="U3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4">
        <f>MainTbl[[#This Row],[O_from_solvents]]+MainTbl[[#This Row],[O_from_salts]]</f>
        <v>32.463735576929309</v>
      </c>
      <c r="W3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40.026407022560598</v>
      </c>
      <c r="X3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4">
        <f>MainTbl[[#This Row],[C_from_solvents]]+MainTbl[[#This Row],[C_from_salts]]</f>
        <v>40.026407022560598</v>
      </c>
      <c r="Z3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34">
        <f>MainTbl[[#This Row],[F_from_solvents]]+MainTbl[[#This Row],[F_from_salts]]</f>
        <v>6</v>
      </c>
      <c r="AC3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73.535666551764237</v>
      </c>
      <c r="AD3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4">
        <f>MainTbl[[#This Row],[H_from_solvents]]+MainTbl[[#This Row],[H_from_salts]]</f>
        <v>73.535666551764237</v>
      </c>
      <c r="AF3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34">
        <f>MainTbl[[#This Row],[Li_from_solvents]]+MainTbl[[#This Row],[Li_from_salts]]</f>
        <v>1</v>
      </c>
      <c r="AI3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154.02580915125415</v>
      </c>
      <c r="AJ34" s="2">
        <f>IFERROR(MainTbl[[#This Row],[O_total]]/MainTbl[[#This Row],[TotalAtoms_all]],0)</f>
        <v>0.21076815473859806</v>
      </c>
      <c r="AK34" s="2">
        <f>IFERROR(MainTbl[[#This Row],[O_from_solvents]]/MainTbl[[#This Row],[TotalAtoms_all]],0)</f>
        <v>0.21076815473859806</v>
      </c>
      <c r="AL34" s="2">
        <f>IFERROR(MainTbl[[#This Row],[O_from_salts]]/MainTbl[[#This Row],[TotalAtoms_all]],0)</f>
        <v>0</v>
      </c>
      <c r="AM34" s="2">
        <f>IFERROR(MainTbl[[#This Row],[C_total]]/MainTbl[[#This Row],[TotalAtoms_all]],0)</f>
        <v>0.25986818211261242</v>
      </c>
      <c r="AN34" s="2">
        <f>IFERROR(MainTbl[[#This Row],[C_from_solvents]]/MainTbl[[#This Row],[TotalAtoms_all]],0)</f>
        <v>0.25986818211261242</v>
      </c>
      <c r="AO34" s="2">
        <f>IFERROR(MainTbl[[#This Row],[C_from_salts]]/MainTbl[[#This Row],[TotalAtoms_all]],0)</f>
        <v>0</v>
      </c>
      <c r="AP34" s="2">
        <f>IFERROR(MainTbl[[#This Row],[F_total]]/MainTbl[[#This Row],[TotalAtoms_all]],0)</f>
        <v>3.8954510500950973E-2</v>
      </c>
      <c r="AQ34" s="2">
        <f>IFERROR(MainTbl[[#This Row],[F_from_solvents]]/MainTbl[[#This Row],[TotalAtoms_all]],0)</f>
        <v>0</v>
      </c>
      <c r="AR34" s="2">
        <f>IFERROR(MainTbl[[#This Row],[F_from_salts]]/MainTbl[[#This Row],[TotalAtoms_all]],0)</f>
        <v>3.8954510500950973E-2</v>
      </c>
      <c r="AS34" s="2">
        <f>IFERROR(MainTbl[[#This Row],[F_total]]/MainTbl[[#This Row],[O_total]],0)</f>
        <v>0.1848216138214224</v>
      </c>
      <c r="AT34" s="2">
        <f>IFERROR(MainTbl[[#This Row],[F_total]]/MainTbl[[#This Row],[C_total]],0)</f>
        <v>0.14990103899703372</v>
      </c>
      <c r="AU34" s="2">
        <f>IFERROR(MainTbl[[#This Row],[O_total]]/MainTbl[[#This Row],[C_total]],0)</f>
        <v>0.81105794878444515</v>
      </c>
      <c r="AV34" s="2">
        <f>IFERROR((MainTbl[[#This Row],[TotalAtoms_all]]-(MainTbl[[#This Row],[C_total]]+MainTbl[[#This Row],[H_total]]+MainTbl[[#This Row],[Li_total]]))/MainTbl[[#This Row],[C_total]],0)</f>
        <v>0.98594249428098446</v>
      </c>
      <c r="AW34" t="str">
        <f>IFERROR(VLOOKUP(MainTbl[[#This Row],[salt_1_smiles]],SaltTbl[],MATCH("Salt",SaltTbl[#Headers],0),FALSE),"")</f>
        <v>LiPF6</v>
      </c>
      <c r="AX34" t="str">
        <f>IFERROR(VLOOKUP(MainTbl[[#This Row],[salt_2_smiles]],SaltTbl[],MATCH("Salt",SaltTbl[#Headers],0),FALSE),"")</f>
        <v/>
      </c>
      <c r="AY34" t="str">
        <f>IFERROR(VLOOKUP(MainTbl[[#This Row],[solvent_1_smiles]],SolvTbl[],MATCH("Solvent",SolvTbl[#Headers],0),FALSE),"")</f>
        <v>Ethylene carbonate</v>
      </c>
      <c r="AZ34" t="str">
        <f>IFERROR(VLOOKUP(MainTbl[[#This Row],[solvent_2_smiles]],SolvTbl[],MATCH("Solvent",SolvTbl[#Headers],0),FALSE),"")</f>
        <v>EMC (C4H8O3)</v>
      </c>
      <c r="BA34" t="str">
        <f>IFERROR(VLOOKUP(MainTbl[[#This Row],[solvent_3_smiles]],SolvTbl[],MATCH("Solvent",SolvTbl[#Headers],0),FALSE),"")</f>
        <v/>
      </c>
      <c r="BB34">
        <f>--(MainTbl[[#This Row],[solv_1_ratio]]&gt;0)+--(MainTbl[[#This Row],[solv_2_ratio]]&gt;0)+--(MainTbl[[#This Row],[solv_3_ratio]]&gt;0)</f>
        <v>2</v>
      </c>
      <c r="BC34" t="str">
        <f>IF(AND(MainTbl[[#This Row],[SaltName1]]&lt;&gt;"",MainTbl[[#This Row],[salt_1_conc]]&gt;0),TEXT(MainTbl[[#This Row],[salt_1_conc]],"0.###")&amp;" M "&amp;MainTbl[[#This Row],[SaltName1]],"")</f>
        <v>1. M LiPF6</v>
      </c>
      <c r="BD34" t="str">
        <f>IF(AND(MainTbl[[#This Row],[SaltName2]]&lt;&gt;"",MainTbl[[#This Row],[salt_2_conc]]&gt;0),TEXT(MainTbl[[#This Row],[salt_2_conc]],"0.###")&amp;" M "&amp;MainTbl[[#This Row],[SaltName2]],"")</f>
        <v/>
      </c>
      <c r="BE3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34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21.74%</v>
      </c>
      <c r="BG34" t="str">
        <f>IF(MainTbl[[#This Row],[SolvCount]]=1,MainTbl[[#This Row],[SolvName2]],IF(MainTbl[[#This Row],[solv_2_ratio]]&gt;0,MainTbl[[#This Row],[SolvName2]]&amp;" "&amp;TEXT(MainTbl[[#This Row],[solv_2_ratio]]*100,"0.##")&amp;"%",""))</f>
        <v>EMC (C4H8O3) 78.26%</v>
      </c>
      <c r="BH3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21.74% + EMC (C4H8O3) 78.26%</v>
      </c>
      <c r="BJ34" t="str">
        <f>TRIM(_xlfn.CONCAT(MainTbl[[#This Row],[Salt_text]]," ",MainTbl[[#This Row],[Solvent_text]]))</f>
        <v>1. M LiPF6 Ethylene carbonate 21.74% + EMC (C4H8O3) 78.26%</v>
      </c>
    </row>
    <row r="35" spans="1:62" x14ac:dyDescent="0.25">
      <c r="A35" t="s">
        <v>19</v>
      </c>
      <c r="B35" t="s">
        <v>28</v>
      </c>
      <c r="D35" t="s">
        <v>29</v>
      </c>
      <c r="G35">
        <v>0.27027026999999998</v>
      </c>
      <c r="H35">
        <v>0.72972972999999997</v>
      </c>
      <c r="I35">
        <v>0</v>
      </c>
      <c r="J35">
        <v>1</v>
      </c>
      <c r="K35">
        <v>0</v>
      </c>
      <c r="L35">
        <v>0.86299999999999999</v>
      </c>
      <c r="M35">
        <f t="shared" si="0"/>
        <v>86.3</v>
      </c>
      <c r="N35">
        <f t="shared" si="1"/>
        <v>0.86327943284359321</v>
      </c>
      <c r="O35">
        <f>IFERROR(MainTbl[[#This Row],[solv_1_ratio]]*VLOOKUP(MainTbl[[#This Row],[solvent_1_smiles]],SolvTbl[],13,FALSE),0)</f>
        <v>4.0511997955985555</v>
      </c>
      <c r="P35">
        <f>IFERROR(MainTbl[[#This Row],[solv_2_ratio]]*VLOOKUP(MainTbl[[#This Row],[solvent_2_smiles]],SolvTbl[],13,FALSE),0)</f>
        <v>6.0229110873613818</v>
      </c>
      <c r="Q35">
        <f>IFERROR(MainTbl[[#This Row],[solv_3_ratio]]*VLOOKUP(MainTbl[[#This Row],[solvent_3_smiles]],SolvTbl[],13,FALSE),0)</f>
        <v>0</v>
      </c>
      <c r="R35">
        <f>IFERROR(MainTbl[[#This Row],[salt_1_conc]],0)</f>
        <v>1</v>
      </c>
      <c r="S35">
        <f>IFERROR(MainTbl[[#This Row],[salt_2_conc]],0)</f>
        <v>0</v>
      </c>
      <c r="T3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30.22233264887981</v>
      </c>
      <c r="U3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5">
        <f>MainTbl[[#This Row],[O_from_solvents]]+MainTbl[[#This Row],[O_from_salts]]</f>
        <v>30.22233264887981</v>
      </c>
      <c r="W3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42.268154823602572</v>
      </c>
      <c r="X3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5">
        <f>MainTbl[[#This Row],[C_from_solvents]]+MainTbl[[#This Row],[C_from_salts]]</f>
        <v>42.268154823602572</v>
      </c>
      <c r="Z3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35">
        <f>MainTbl[[#This Row],[F_from_solvents]]+MainTbl[[#This Row],[F_from_salts]]</f>
        <v>6</v>
      </c>
      <c r="AC3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76.433910056008045</v>
      </c>
      <c r="AD3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5">
        <f>MainTbl[[#This Row],[H_from_solvents]]+MainTbl[[#This Row],[H_from_salts]]</f>
        <v>76.433910056008045</v>
      </c>
      <c r="AF3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35">
        <f>MainTbl[[#This Row],[Li_from_solvents]]+MainTbl[[#This Row],[Li_from_salts]]</f>
        <v>1</v>
      </c>
      <c r="AI3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156.92439752849043</v>
      </c>
      <c r="AJ35" s="2">
        <f>IFERROR(MainTbl[[#This Row],[O_total]]/MainTbl[[#This Row],[TotalAtoms_all]],0)</f>
        <v>0.19259167551299849</v>
      </c>
      <c r="AK35" s="2">
        <f>IFERROR(MainTbl[[#This Row],[O_from_solvents]]/MainTbl[[#This Row],[TotalAtoms_all]],0)</f>
        <v>0.19259167551299849</v>
      </c>
      <c r="AL35" s="2">
        <f>IFERROR(MainTbl[[#This Row],[O_from_salts]]/MainTbl[[#This Row],[TotalAtoms_all]],0)</f>
        <v>0</v>
      </c>
      <c r="AM35" s="2">
        <f>IFERROR(MainTbl[[#This Row],[C_total]]/MainTbl[[#This Row],[TotalAtoms_all]],0)</f>
        <v>0.26935362180331818</v>
      </c>
      <c r="AN35" s="2">
        <f>IFERROR(MainTbl[[#This Row],[C_from_solvents]]/MainTbl[[#This Row],[TotalAtoms_all]],0)</f>
        <v>0.26935362180331818</v>
      </c>
      <c r="AO35" s="2">
        <f>IFERROR(MainTbl[[#This Row],[C_from_salts]]/MainTbl[[#This Row],[TotalAtoms_all]],0)</f>
        <v>0</v>
      </c>
      <c r="AP35" s="2">
        <f>IFERROR(MainTbl[[#This Row],[F_total]]/MainTbl[[#This Row],[TotalAtoms_all]],0)</f>
        <v>3.8234972346544577E-2</v>
      </c>
      <c r="AQ35" s="2">
        <f>IFERROR(MainTbl[[#This Row],[F_from_solvents]]/MainTbl[[#This Row],[TotalAtoms_all]],0)</f>
        <v>0</v>
      </c>
      <c r="AR35" s="2">
        <f>IFERROR(MainTbl[[#This Row],[F_from_salts]]/MainTbl[[#This Row],[TotalAtoms_all]],0)</f>
        <v>3.8234972346544577E-2</v>
      </c>
      <c r="AS35" s="2">
        <f>IFERROR(MainTbl[[#This Row],[F_total]]/MainTbl[[#This Row],[O_total]],0)</f>
        <v>0.19852868637597998</v>
      </c>
      <c r="AT35" s="2">
        <f>IFERROR(MainTbl[[#This Row],[F_total]]/MainTbl[[#This Row],[C_total]],0)</f>
        <v>0.14195083804911199</v>
      </c>
      <c r="AU35" s="2">
        <f>IFERROR(MainTbl[[#This Row],[O_total]]/MainTbl[[#This Row],[C_total]],0)</f>
        <v>0.71501424121792123</v>
      </c>
      <c r="AV35" s="2">
        <f>IFERROR((MainTbl[[#This Row],[TotalAtoms_all]]-(MainTbl[[#This Row],[C_total]]+MainTbl[[#This Row],[H_total]]+MainTbl[[#This Row],[Li_total]]))/MainTbl[[#This Row],[C_total]],0)</f>
        <v>0.8806235522752186</v>
      </c>
      <c r="AW35" t="str">
        <f>IFERROR(VLOOKUP(MainTbl[[#This Row],[salt_1_smiles]],SaltTbl[],MATCH("Salt",SaltTbl[#Headers],0),FALSE),"")</f>
        <v>LiPF6</v>
      </c>
      <c r="AX35" t="str">
        <f>IFERROR(VLOOKUP(MainTbl[[#This Row],[salt_2_smiles]],SaltTbl[],MATCH("Salt",SaltTbl[#Headers],0),FALSE),"")</f>
        <v/>
      </c>
      <c r="AY35" t="str">
        <f>IFERROR(VLOOKUP(MainTbl[[#This Row],[solvent_1_smiles]],SolvTbl[],MATCH("Solvent",SolvTbl[#Headers],0),FALSE),"")</f>
        <v>Ethylene carbonate</v>
      </c>
      <c r="AZ35" t="str">
        <f>IFERROR(VLOOKUP(MainTbl[[#This Row],[solvent_2_smiles]],SolvTbl[],MATCH("Solvent",SolvTbl[#Headers],0),FALSE),"")</f>
        <v>Diethyl Carbonate</v>
      </c>
      <c r="BA35" t="str">
        <f>IFERROR(VLOOKUP(MainTbl[[#This Row],[solvent_3_smiles]],SolvTbl[],MATCH("Solvent",SolvTbl[#Headers],0),FALSE),"")</f>
        <v/>
      </c>
      <c r="BB35">
        <f>--(MainTbl[[#This Row],[solv_1_ratio]]&gt;0)+--(MainTbl[[#This Row],[solv_2_ratio]]&gt;0)+--(MainTbl[[#This Row],[solv_3_ratio]]&gt;0)</f>
        <v>2</v>
      </c>
      <c r="BC35" t="str">
        <f>IF(AND(MainTbl[[#This Row],[SaltName1]]&lt;&gt;"",MainTbl[[#This Row],[salt_1_conc]]&gt;0),TEXT(MainTbl[[#This Row],[salt_1_conc]],"0.###")&amp;" M "&amp;MainTbl[[#This Row],[SaltName1]],"")</f>
        <v>1. M LiPF6</v>
      </c>
      <c r="BD35" t="str">
        <f>IF(AND(MainTbl[[#This Row],[SaltName2]]&lt;&gt;"",MainTbl[[#This Row],[salt_2_conc]]&gt;0),TEXT(MainTbl[[#This Row],[salt_2_conc]],"0.###")&amp;" M "&amp;MainTbl[[#This Row],[SaltName2]],"")</f>
        <v/>
      </c>
      <c r="BE3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35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27.03%</v>
      </c>
      <c r="BG35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72.97%</v>
      </c>
      <c r="BH3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27.03% + Diethyl Carbonate 72.97%</v>
      </c>
      <c r="BJ35" t="str">
        <f>TRIM(_xlfn.CONCAT(MainTbl[[#This Row],[Salt_text]]," ",MainTbl[[#This Row],[Solvent_text]]))</f>
        <v>1. M LiPF6 Ethylene carbonate 27.03% + Diethyl Carbonate 72.97%</v>
      </c>
    </row>
    <row r="36" spans="1:62" x14ac:dyDescent="0.25">
      <c r="A36" t="s">
        <v>19</v>
      </c>
      <c r="B36" t="s">
        <v>38</v>
      </c>
      <c r="D36" t="s">
        <v>29</v>
      </c>
      <c r="G36">
        <v>0.25</v>
      </c>
      <c r="H36">
        <v>0.75</v>
      </c>
      <c r="I36">
        <v>0</v>
      </c>
      <c r="J36">
        <v>1</v>
      </c>
      <c r="K36">
        <v>0</v>
      </c>
      <c r="L36">
        <v>0.879</v>
      </c>
      <c r="M36">
        <f t="shared" si="0"/>
        <v>87.9</v>
      </c>
      <c r="N36">
        <f t="shared" si="1"/>
        <v>0.91721462968354994</v>
      </c>
      <c r="O36">
        <f>IFERROR(MainTbl[[#This Row],[solv_1_ratio]]*VLOOKUP(MainTbl[[#This Row],[solvent_1_smiles]],SolvTbl[],13,FALSE),0)</f>
        <v>3.7473598146760243</v>
      </c>
      <c r="P36">
        <f>IFERROR(MainTbl[[#This Row],[solv_2_ratio]]*VLOOKUP(MainTbl[[#This Row],[solvent_2_smiles]],SolvTbl[],13,FALSE),0)</f>
        <v>7.2475601321755168</v>
      </c>
      <c r="Q36">
        <f>IFERROR(MainTbl[[#This Row],[solv_3_ratio]]*VLOOKUP(MainTbl[[#This Row],[solvent_3_smiles]],SolvTbl[],13,FALSE),0)</f>
        <v>0</v>
      </c>
      <c r="R36">
        <f>IFERROR(MainTbl[[#This Row],[salt_1_conc]],0)</f>
        <v>1</v>
      </c>
      <c r="S36">
        <f>IFERROR(MainTbl[[#This Row],[salt_2_conc]],0)</f>
        <v>0</v>
      </c>
      <c r="T3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32.984759840554624</v>
      </c>
      <c r="U3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6">
        <f>MainTbl[[#This Row],[O_from_solvents]]+MainTbl[[#This Row],[O_from_salts]]</f>
        <v>32.984759840554624</v>
      </c>
      <c r="W3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40.232319972730139</v>
      </c>
      <c r="X3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6">
        <f>MainTbl[[#This Row],[C_from_solvents]]+MainTbl[[#This Row],[C_from_salts]]</f>
        <v>40.232319972730139</v>
      </c>
      <c r="Z3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36">
        <f>MainTbl[[#This Row],[F_from_solvents]]+MainTbl[[#This Row],[F_from_salts]]</f>
        <v>6</v>
      </c>
      <c r="AC3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72.969920316108229</v>
      </c>
      <c r="AD3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6">
        <f>MainTbl[[#This Row],[H_from_solvents]]+MainTbl[[#This Row],[H_from_salts]]</f>
        <v>72.969920316108229</v>
      </c>
      <c r="AF3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36">
        <f>MainTbl[[#This Row],[Li_from_solvents]]+MainTbl[[#This Row],[Li_from_salts]]</f>
        <v>1</v>
      </c>
      <c r="AI3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154.187000129393</v>
      </c>
      <c r="AJ36" s="2">
        <f>IFERROR(MainTbl[[#This Row],[O_total]]/MainTbl[[#This Row],[TotalAtoms_all]],0)</f>
        <v>0.21392698355162218</v>
      </c>
      <c r="AK36" s="2">
        <f>IFERROR(MainTbl[[#This Row],[O_from_solvents]]/MainTbl[[#This Row],[TotalAtoms_all]],0)</f>
        <v>0.21392698355162218</v>
      </c>
      <c r="AL36" s="2">
        <f>IFERROR(MainTbl[[#This Row],[O_from_salts]]/MainTbl[[#This Row],[TotalAtoms_all]],0)</f>
        <v>0</v>
      </c>
      <c r="AM36" s="2">
        <f>IFERROR(MainTbl[[#This Row],[C_total]]/MainTbl[[#This Row],[TotalAtoms_all]],0)</f>
        <v>0.26093198479098345</v>
      </c>
      <c r="AN36" s="2">
        <f>IFERROR(MainTbl[[#This Row],[C_from_solvents]]/MainTbl[[#This Row],[TotalAtoms_all]],0)</f>
        <v>0.26093198479098345</v>
      </c>
      <c r="AO36" s="2">
        <f>IFERROR(MainTbl[[#This Row],[C_from_salts]]/MainTbl[[#This Row],[TotalAtoms_all]],0)</f>
        <v>0</v>
      </c>
      <c r="AP36" s="2">
        <f>IFERROR(MainTbl[[#This Row],[F_total]]/MainTbl[[#This Row],[TotalAtoms_all]],0)</f>
        <v>3.89137864733397E-2</v>
      </c>
      <c r="AQ36" s="2">
        <f>IFERROR(MainTbl[[#This Row],[F_from_solvents]]/MainTbl[[#This Row],[TotalAtoms_all]],0)</f>
        <v>0</v>
      </c>
      <c r="AR36" s="2">
        <f>IFERROR(MainTbl[[#This Row],[F_from_salts]]/MainTbl[[#This Row],[TotalAtoms_all]],0)</f>
        <v>3.89137864733397E-2</v>
      </c>
      <c r="AS36" s="2">
        <f>IFERROR(MainTbl[[#This Row],[F_total]]/MainTbl[[#This Row],[O_total]],0)</f>
        <v>0.18190218843500644</v>
      </c>
      <c r="AT36" s="2">
        <f>IFERROR(MainTbl[[#This Row],[F_total]]/MainTbl[[#This Row],[C_total]],0)</f>
        <v>0.14913383081231354</v>
      </c>
      <c r="AU36" s="2">
        <f>IFERROR(MainTbl[[#This Row],[O_total]]/MainTbl[[#This Row],[C_total]],0)</f>
        <v>0.81985726557434468</v>
      </c>
      <c r="AV36" s="2">
        <f>IFERROR((MainTbl[[#This Row],[TotalAtoms_all]]-(MainTbl[[#This Row],[C_total]]+MainTbl[[#This Row],[H_total]]+MainTbl[[#This Row],[Li_total]]))/MainTbl[[#This Row],[C_total]],0)</f>
        <v>0.99384673485537733</v>
      </c>
      <c r="AW36" t="str">
        <f>IFERROR(VLOOKUP(MainTbl[[#This Row],[salt_1_smiles]],SaltTbl[],MATCH("Salt",SaltTbl[#Headers],0),FALSE),"")</f>
        <v>LiPF6</v>
      </c>
      <c r="AX36" t="str">
        <f>IFERROR(VLOOKUP(MainTbl[[#This Row],[salt_2_smiles]],SaltTbl[],MATCH("Salt",SaltTbl[#Headers],0),FALSE),"")</f>
        <v/>
      </c>
      <c r="AY36" t="str">
        <f>IFERROR(VLOOKUP(MainTbl[[#This Row],[solvent_1_smiles]],SolvTbl[],MATCH("Solvent",SolvTbl[#Headers],0),FALSE),"")</f>
        <v>Ethylene carbonate</v>
      </c>
      <c r="AZ36" t="str">
        <f>IFERROR(VLOOKUP(MainTbl[[#This Row],[solvent_2_smiles]],SolvTbl[],MATCH("Solvent",SolvTbl[#Headers],0),FALSE),"")</f>
        <v>EMC (C4H8O3)</v>
      </c>
      <c r="BA36" t="str">
        <f>IFERROR(VLOOKUP(MainTbl[[#This Row],[solvent_3_smiles]],SolvTbl[],MATCH("Solvent",SolvTbl[#Headers],0),FALSE),"")</f>
        <v/>
      </c>
      <c r="BB36">
        <f>--(MainTbl[[#This Row],[solv_1_ratio]]&gt;0)+--(MainTbl[[#This Row],[solv_2_ratio]]&gt;0)+--(MainTbl[[#This Row],[solv_3_ratio]]&gt;0)</f>
        <v>2</v>
      </c>
      <c r="BC36" t="str">
        <f>IF(AND(MainTbl[[#This Row],[SaltName1]]&lt;&gt;"",MainTbl[[#This Row],[salt_1_conc]]&gt;0),TEXT(MainTbl[[#This Row],[salt_1_conc]],"0.###")&amp;" M "&amp;MainTbl[[#This Row],[SaltName1]],"")</f>
        <v>1. M LiPF6</v>
      </c>
      <c r="BD36" t="str">
        <f>IF(AND(MainTbl[[#This Row],[SaltName2]]&lt;&gt;"",MainTbl[[#This Row],[salt_2_conc]]&gt;0),TEXT(MainTbl[[#This Row],[salt_2_conc]],"0.###")&amp;" M "&amp;MainTbl[[#This Row],[SaltName2]],"")</f>
        <v/>
      </c>
      <c r="BE3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36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25.%</v>
      </c>
      <c r="BG36" t="str">
        <f>IF(MainTbl[[#This Row],[SolvCount]]=1,MainTbl[[#This Row],[SolvName2]],IF(MainTbl[[#This Row],[solv_2_ratio]]&gt;0,MainTbl[[#This Row],[SolvName2]]&amp;" "&amp;TEXT(MainTbl[[#This Row],[solv_2_ratio]]*100,"0.##")&amp;"%",""))</f>
        <v>EMC (C4H8O3) 75.%</v>
      </c>
      <c r="BH3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25.% + EMC (C4H8O3) 75.%</v>
      </c>
      <c r="BJ36" t="str">
        <f>TRIM(_xlfn.CONCAT(MainTbl[[#This Row],[Salt_text]]," ",MainTbl[[#This Row],[Solvent_text]]))</f>
        <v>1. M LiPF6 Ethylene carbonate 25.% + EMC (C4H8O3) 75.%</v>
      </c>
    </row>
    <row r="37" spans="1:62" x14ac:dyDescent="0.25">
      <c r="A37" t="s">
        <v>19</v>
      </c>
      <c r="B37" t="s">
        <v>38</v>
      </c>
      <c r="D37" t="s">
        <v>29</v>
      </c>
      <c r="G37">
        <v>0.25</v>
      </c>
      <c r="H37">
        <v>0.75</v>
      </c>
      <c r="I37">
        <v>0</v>
      </c>
      <c r="J37">
        <v>1</v>
      </c>
      <c r="K37">
        <v>0</v>
      </c>
      <c r="L37">
        <v>0.88100000000000001</v>
      </c>
      <c r="M37">
        <f t="shared" si="0"/>
        <v>88.1</v>
      </c>
      <c r="N37">
        <f t="shared" si="1"/>
        <v>0.9244530386074693</v>
      </c>
      <c r="O37">
        <f>IFERROR(MainTbl[[#This Row],[solv_1_ratio]]*VLOOKUP(MainTbl[[#This Row],[solvent_1_smiles]],SolvTbl[],13,FALSE),0)</f>
        <v>3.7473598146760243</v>
      </c>
      <c r="P37">
        <f>IFERROR(MainTbl[[#This Row],[solv_2_ratio]]*VLOOKUP(MainTbl[[#This Row],[solvent_2_smiles]],SolvTbl[],13,FALSE),0)</f>
        <v>7.2475601321755168</v>
      </c>
      <c r="Q37">
        <f>IFERROR(MainTbl[[#This Row],[solv_3_ratio]]*VLOOKUP(MainTbl[[#This Row],[solvent_3_smiles]],SolvTbl[],13,FALSE),0)</f>
        <v>0</v>
      </c>
      <c r="R37">
        <f>IFERROR(MainTbl[[#This Row],[salt_1_conc]],0)</f>
        <v>1</v>
      </c>
      <c r="S37">
        <f>IFERROR(MainTbl[[#This Row],[salt_2_conc]],0)</f>
        <v>0</v>
      </c>
      <c r="T3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32.984759840554624</v>
      </c>
      <c r="U3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7">
        <f>MainTbl[[#This Row],[O_from_solvents]]+MainTbl[[#This Row],[O_from_salts]]</f>
        <v>32.984759840554624</v>
      </c>
      <c r="W3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40.232319972730139</v>
      </c>
      <c r="X3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7">
        <f>MainTbl[[#This Row],[C_from_solvents]]+MainTbl[[#This Row],[C_from_salts]]</f>
        <v>40.232319972730139</v>
      </c>
      <c r="Z3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37">
        <f>MainTbl[[#This Row],[F_from_solvents]]+MainTbl[[#This Row],[F_from_salts]]</f>
        <v>6</v>
      </c>
      <c r="AC3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72.969920316108229</v>
      </c>
      <c r="AD3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7">
        <f>MainTbl[[#This Row],[H_from_solvents]]+MainTbl[[#This Row],[H_from_salts]]</f>
        <v>72.969920316108229</v>
      </c>
      <c r="AF3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37">
        <f>MainTbl[[#This Row],[Li_from_solvents]]+MainTbl[[#This Row],[Li_from_salts]]</f>
        <v>1</v>
      </c>
      <c r="AI3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154.187000129393</v>
      </c>
      <c r="AJ37" s="2">
        <f>IFERROR(MainTbl[[#This Row],[O_total]]/MainTbl[[#This Row],[TotalAtoms_all]],0)</f>
        <v>0.21392698355162218</v>
      </c>
      <c r="AK37" s="2">
        <f>IFERROR(MainTbl[[#This Row],[O_from_solvents]]/MainTbl[[#This Row],[TotalAtoms_all]],0)</f>
        <v>0.21392698355162218</v>
      </c>
      <c r="AL37" s="2">
        <f>IFERROR(MainTbl[[#This Row],[O_from_salts]]/MainTbl[[#This Row],[TotalAtoms_all]],0)</f>
        <v>0</v>
      </c>
      <c r="AM37" s="2">
        <f>IFERROR(MainTbl[[#This Row],[C_total]]/MainTbl[[#This Row],[TotalAtoms_all]],0)</f>
        <v>0.26093198479098345</v>
      </c>
      <c r="AN37" s="2">
        <f>IFERROR(MainTbl[[#This Row],[C_from_solvents]]/MainTbl[[#This Row],[TotalAtoms_all]],0)</f>
        <v>0.26093198479098345</v>
      </c>
      <c r="AO37" s="2">
        <f>IFERROR(MainTbl[[#This Row],[C_from_salts]]/MainTbl[[#This Row],[TotalAtoms_all]],0)</f>
        <v>0</v>
      </c>
      <c r="AP37" s="2">
        <f>IFERROR(MainTbl[[#This Row],[F_total]]/MainTbl[[#This Row],[TotalAtoms_all]],0)</f>
        <v>3.89137864733397E-2</v>
      </c>
      <c r="AQ37" s="2">
        <f>IFERROR(MainTbl[[#This Row],[F_from_solvents]]/MainTbl[[#This Row],[TotalAtoms_all]],0)</f>
        <v>0</v>
      </c>
      <c r="AR37" s="2">
        <f>IFERROR(MainTbl[[#This Row],[F_from_salts]]/MainTbl[[#This Row],[TotalAtoms_all]],0)</f>
        <v>3.89137864733397E-2</v>
      </c>
      <c r="AS37" s="2">
        <f>IFERROR(MainTbl[[#This Row],[F_total]]/MainTbl[[#This Row],[O_total]],0)</f>
        <v>0.18190218843500644</v>
      </c>
      <c r="AT37" s="2">
        <f>IFERROR(MainTbl[[#This Row],[F_total]]/MainTbl[[#This Row],[C_total]],0)</f>
        <v>0.14913383081231354</v>
      </c>
      <c r="AU37" s="2">
        <f>IFERROR(MainTbl[[#This Row],[O_total]]/MainTbl[[#This Row],[C_total]],0)</f>
        <v>0.81985726557434468</v>
      </c>
      <c r="AV37" s="2">
        <f>IFERROR((MainTbl[[#This Row],[TotalAtoms_all]]-(MainTbl[[#This Row],[C_total]]+MainTbl[[#This Row],[H_total]]+MainTbl[[#This Row],[Li_total]]))/MainTbl[[#This Row],[C_total]],0)</f>
        <v>0.99384673485537733</v>
      </c>
      <c r="AW37" t="str">
        <f>IFERROR(VLOOKUP(MainTbl[[#This Row],[salt_1_smiles]],SaltTbl[],MATCH("Salt",SaltTbl[#Headers],0),FALSE),"")</f>
        <v>LiPF6</v>
      </c>
      <c r="AX37" t="str">
        <f>IFERROR(VLOOKUP(MainTbl[[#This Row],[salt_2_smiles]],SaltTbl[],MATCH("Salt",SaltTbl[#Headers],0),FALSE),"")</f>
        <v/>
      </c>
      <c r="AY37" t="str">
        <f>IFERROR(VLOOKUP(MainTbl[[#This Row],[solvent_1_smiles]],SolvTbl[],MATCH("Solvent",SolvTbl[#Headers],0),FALSE),"")</f>
        <v>Ethylene carbonate</v>
      </c>
      <c r="AZ37" t="str">
        <f>IFERROR(VLOOKUP(MainTbl[[#This Row],[solvent_2_smiles]],SolvTbl[],MATCH("Solvent",SolvTbl[#Headers],0),FALSE),"")</f>
        <v>EMC (C4H8O3)</v>
      </c>
      <c r="BA37" t="str">
        <f>IFERROR(VLOOKUP(MainTbl[[#This Row],[solvent_3_smiles]],SolvTbl[],MATCH("Solvent",SolvTbl[#Headers],0),FALSE),"")</f>
        <v/>
      </c>
      <c r="BB37">
        <f>--(MainTbl[[#This Row],[solv_1_ratio]]&gt;0)+--(MainTbl[[#This Row],[solv_2_ratio]]&gt;0)+--(MainTbl[[#This Row],[solv_3_ratio]]&gt;0)</f>
        <v>2</v>
      </c>
      <c r="BC37" t="str">
        <f>IF(AND(MainTbl[[#This Row],[SaltName1]]&lt;&gt;"",MainTbl[[#This Row],[salt_1_conc]]&gt;0),TEXT(MainTbl[[#This Row],[salt_1_conc]],"0.###")&amp;" M "&amp;MainTbl[[#This Row],[SaltName1]],"")</f>
        <v>1. M LiPF6</v>
      </c>
      <c r="BD37" t="str">
        <f>IF(AND(MainTbl[[#This Row],[SaltName2]]&lt;&gt;"",MainTbl[[#This Row],[salt_2_conc]]&gt;0),TEXT(MainTbl[[#This Row],[salt_2_conc]],"0.###")&amp;" M "&amp;MainTbl[[#This Row],[SaltName2]],"")</f>
        <v/>
      </c>
      <c r="BE3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37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25.%</v>
      </c>
      <c r="BG37" t="str">
        <f>IF(MainTbl[[#This Row],[SolvCount]]=1,MainTbl[[#This Row],[SolvName2]],IF(MainTbl[[#This Row],[solv_2_ratio]]&gt;0,MainTbl[[#This Row],[SolvName2]]&amp;" "&amp;TEXT(MainTbl[[#This Row],[solv_2_ratio]]*100,"0.##")&amp;"%",""))</f>
        <v>EMC (C4H8O3) 75.%</v>
      </c>
      <c r="BH3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25.% + EMC (C4H8O3) 75.%</v>
      </c>
      <c r="BJ37" t="str">
        <f>TRIM(_xlfn.CONCAT(MainTbl[[#This Row],[Salt_text]]," ",MainTbl[[#This Row],[Solvent_text]]))</f>
        <v>1. M LiPF6 Ethylene carbonate 25.% + EMC (C4H8O3) 75.%</v>
      </c>
    </row>
    <row r="38" spans="1:62" x14ac:dyDescent="0.25">
      <c r="A38" t="s">
        <v>19</v>
      </c>
      <c r="B38" t="s">
        <v>27</v>
      </c>
      <c r="D38" t="s">
        <v>29</v>
      </c>
      <c r="G38">
        <v>0.5</v>
      </c>
      <c r="H38">
        <v>0.5</v>
      </c>
      <c r="I38">
        <v>0</v>
      </c>
      <c r="J38">
        <v>1</v>
      </c>
      <c r="K38">
        <v>0</v>
      </c>
      <c r="L38">
        <v>0.89</v>
      </c>
      <c r="M38">
        <f t="shared" si="0"/>
        <v>89</v>
      </c>
      <c r="N38">
        <f t="shared" si="1"/>
        <v>0.95860731484177497</v>
      </c>
      <c r="O38">
        <f>IFERROR(MainTbl[[#This Row],[solv_1_ratio]]*VLOOKUP(MainTbl[[#This Row],[solvent_1_smiles]],SolvTbl[],13,FALSE),0)</f>
        <v>7.4947196293520486</v>
      </c>
      <c r="P38">
        <f>IFERROR(MainTbl[[#This Row],[solv_2_ratio]]*VLOOKUP(MainTbl[[#This Row],[solvent_2_smiles]],SolvTbl[],13,FALSE),0)</f>
        <v>5.9392970536646015</v>
      </c>
      <c r="Q38">
        <f>IFERROR(MainTbl[[#This Row],[solv_3_ratio]]*VLOOKUP(MainTbl[[#This Row],[solvent_3_smiles]],SolvTbl[],13,FALSE),0)</f>
        <v>0</v>
      </c>
      <c r="R38">
        <f>IFERROR(MainTbl[[#This Row],[salt_1_conc]],0)</f>
        <v>1</v>
      </c>
      <c r="S38">
        <f>IFERROR(MainTbl[[#This Row],[salt_2_conc]],0)</f>
        <v>0</v>
      </c>
      <c r="T3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40.302050049049953</v>
      </c>
      <c r="U3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8">
        <f>MainTbl[[#This Row],[O_from_solvents]]+MainTbl[[#This Row],[O_from_salts]]</f>
        <v>40.302050049049953</v>
      </c>
      <c r="W3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40.302050049049953</v>
      </c>
      <c r="X3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8">
        <f>MainTbl[[#This Row],[C_from_solvents]]+MainTbl[[#This Row],[C_from_salts]]</f>
        <v>40.302050049049953</v>
      </c>
      <c r="Z3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38">
        <f>MainTbl[[#This Row],[F_from_solvents]]+MainTbl[[#This Row],[F_from_salts]]</f>
        <v>6</v>
      </c>
      <c r="AC3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65.614660839395796</v>
      </c>
      <c r="AD3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8">
        <f>MainTbl[[#This Row],[H_from_solvents]]+MainTbl[[#This Row],[H_from_salts]]</f>
        <v>65.614660839395796</v>
      </c>
      <c r="AF3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38">
        <f>MainTbl[[#This Row],[Li_from_solvents]]+MainTbl[[#This Row],[Li_from_salts]]</f>
        <v>1</v>
      </c>
      <c r="AI3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154.21876093749569</v>
      </c>
      <c r="AJ38" s="2">
        <f>IFERROR(MainTbl[[#This Row],[O_total]]/MainTbl[[#This Row],[TotalAtoms_all]],0)</f>
        <v>0.26133039718419365</v>
      </c>
      <c r="AK38" s="2">
        <f>IFERROR(MainTbl[[#This Row],[O_from_solvents]]/MainTbl[[#This Row],[TotalAtoms_all]],0)</f>
        <v>0.26133039718419365</v>
      </c>
      <c r="AL38" s="2">
        <f>IFERROR(MainTbl[[#This Row],[O_from_salts]]/MainTbl[[#This Row],[TotalAtoms_all]],0)</f>
        <v>0</v>
      </c>
      <c r="AM38" s="2">
        <f>IFERROR(MainTbl[[#This Row],[C_total]]/MainTbl[[#This Row],[TotalAtoms_all]],0)</f>
        <v>0.26133039718419365</v>
      </c>
      <c r="AN38" s="2">
        <f>IFERROR(MainTbl[[#This Row],[C_from_solvents]]/MainTbl[[#This Row],[TotalAtoms_all]],0)</f>
        <v>0.26133039718419365</v>
      </c>
      <c r="AO38" s="2">
        <f>IFERROR(MainTbl[[#This Row],[C_from_salts]]/MainTbl[[#This Row],[TotalAtoms_all]],0)</f>
        <v>0</v>
      </c>
      <c r="AP38" s="2">
        <f>IFERROR(MainTbl[[#This Row],[F_total]]/MainTbl[[#This Row],[TotalAtoms_all]],0)</f>
        <v>3.8905772316714299E-2</v>
      </c>
      <c r="AQ38" s="2">
        <f>IFERROR(MainTbl[[#This Row],[F_from_solvents]]/MainTbl[[#This Row],[TotalAtoms_all]],0)</f>
        <v>0</v>
      </c>
      <c r="AR38" s="2">
        <f>IFERROR(MainTbl[[#This Row],[F_from_salts]]/MainTbl[[#This Row],[TotalAtoms_all]],0)</f>
        <v>3.8905772316714299E-2</v>
      </c>
      <c r="AS38" s="2">
        <f>IFERROR(MainTbl[[#This Row],[F_total]]/MainTbl[[#This Row],[O_total]],0)</f>
        <v>0.1488758014219537</v>
      </c>
      <c r="AT38" s="2">
        <f>IFERROR(MainTbl[[#This Row],[F_total]]/MainTbl[[#This Row],[C_total]],0)</f>
        <v>0.1488758014219537</v>
      </c>
      <c r="AU38" s="2">
        <f>IFERROR(MainTbl[[#This Row],[O_total]]/MainTbl[[#This Row],[C_total]],0)</f>
        <v>1</v>
      </c>
      <c r="AV38" s="2">
        <f>IFERROR((MainTbl[[#This Row],[TotalAtoms_all]]-(MainTbl[[#This Row],[C_total]]+MainTbl[[#This Row],[H_total]]+MainTbl[[#This Row],[Li_total]]))/MainTbl[[#This Row],[C_total]],0)</f>
        <v>1.1736884349922789</v>
      </c>
      <c r="AW38" t="str">
        <f>IFERROR(VLOOKUP(MainTbl[[#This Row],[salt_1_smiles]],SaltTbl[],MATCH("Salt",SaltTbl[#Headers],0),FALSE),"")</f>
        <v>LiPF6</v>
      </c>
      <c r="AX38" t="str">
        <f>IFERROR(VLOOKUP(MainTbl[[#This Row],[salt_2_smiles]],SaltTbl[],MATCH("Salt",SaltTbl[#Headers],0),FALSE),"")</f>
        <v/>
      </c>
      <c r="AY38" t="str">
        <f>IFERROR(VLOOKUP(MainTbl[[#This Row],[solvent_1_smiles]],SolvTbl[],MATCH("Solvent",SolvTbl[#Headers],0),FALSE),"")</f>
        <v>Ethylene carbonate</v>
      </c>
      <c r="AZ38" t="str">
        <f>IFERROR(VLOOKUP(MainTbl[[#This Row],[solvent_2_smiles]],SolvTbl[],MATCH("Solvent",SolvTbl[#Headers],0),FALSE),"")</f>
        <v>DMC (C3H6O3)</v>
      </c>
      <c r="BA38" t="str">
        <f>IFERROR(VLOOKUP(MainTbl[[#This Row],[solvent_3_smiles]],SolvTbl[],MATCH("Solvent",SolvTbl[#Headers],0),FALSE),"")</f>
        <v/>
      </c>
      <c r="BB38">
        <f>--(MainTbl[[#This Row],[solv_1_ratio]]&gt;0)+--(MainTbl[[#This Row],[solv_2_ratio]]&gt;0)+--(MainTbl[[#This Row],[solv_3_ratio]]&gt;0)</f>
        <v>2</v>
      </c>
      <c r="BC38" t="str">
        <f>IF(AND(MainTbl[[#This Row],[SaltName1]]&lt;&gt;"",MainTbl[[#This Row],[salt_1_conc]]&gt;0),TEXT(MainTbl[[#This Row],[salt_1_conc]],"0.###")&amp;" M "&amp;MainTbl[[#This Row],[SaltName1]],"")</f>
        <v>1. M LiPF6</v>
      </c>
      <c r="BD38" t="str">
        <f>IF(AND(MainTbl[[#This Row],[SaltName2]]&lt;&gt;"",MainTbl[[#This Row],[salt_2_conc]]&gt;0),TEXT(MainTbl[[#This Row],[salt_2_conc]],"0.###")&amp;" M "&amp;MainTbl[[#This Row],[SaltName2]],"")</f>
        <v/>
      </c>
      <c r="BE3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38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38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3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DMC (C3H6O3) 50.%</v>
      </c>
      <c r="BJ38" t="str">
        <f>TRIM(_xlfn.CONCAT(MainTbl[[#This Row],[Salt_text]]," ",MainTbl[[#This Row],[Solvent_text]]))</f>
        <v>1. M LiPF6 Ethylene carbonate 50.% + DMC (C3H6O3) 50.%</v>
      </c>
    </row>
    <row r="39" spans="1:62" x14ac:dyDescent="0.25">
      <c r="A39" t="s">
        <v>19</v>
      </c>
      <c r="B39" t="s">
        <v>28</v>
      </c>
      <c r="D39" t="s">
        <v>29</v>
      </c>
      <c r="G39">
        <v>0.41666666699999999</v>
      </c>
      <c r="H39">
        <v>0.58333333300000001</v>
      </c>
      <c r="I39">
        <v>0</v>
      </c>
      <c r="J39">
        <v>1</v>
      </c>
      <c r="K39">
        <v>0</v>
      </c>
      <c r="L39">
        <v>0.91100000000000003</v>
      </c>
      <c r="M39">
        <f t="shared" si="0"/>
        <v>91.100000000000009</v>
      </c>
      <c r="N39">
        <f t="shared" si="1"/>
        <v>1.0506099933550874</v>
      </c>
      <c r="O39">
        <f>IFERROR(MainTbl[[#This Row],[solv_1_ratio]]*VLOOKUP(MainTbl[[#This Row],[solvent_1_smiles]],SolvTbl[],13,FALSE),0)</f>
        <v>6.245599696123187</v>
      </c>
      <c r="P39">
        <f>IFERROR(MainTbl[[#This Row],[solv_2_ratio]]*VLOOKUP(MainTbl[[#This Row],[solvent_2_smiles]],SolvTbl[],13,FALSE),0)</f>
        <v>4.8146110190044871</v>
      </c>
      <c r="Q39">
        <f>IFERROR(MainTbl[[#This Row],[solv_3_ratio]]*VLOOKUP(MainTbl[[#This Row],[solvent_3_smiles]],SolvTbl[],13,FALSE),0)</f>
        <v>0</v>
      </c>
      <c r="R39">
        <f>IFERROR(MainTbl[[#This Row],[salt_1_conc]],0)</f>
        <v>1</v>
      </c>
      <c r="S39">
        <f>IFERROR(MainTbl[[#This Row],[salt_2_conc]],0)</f>
        <v>0</v>
      </c>
      <c r="T3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33.180632145383022</v>
      </c>
      <c r="U3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39">
        <f>MainTbl[[#This Row],[O_from_solvents]]+MainTbl[[#This Row],[O_from_salts]]</f>
        <v>33.180632145383022</v>
      </c>
      <c r="W3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42.809854183391998</v>
      </c>
      <c r="X3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39">
        <f>MainTbl[[#This Row],[C_from_solvents]]+MainTbl[[#This Row],[C_from_salts]]</f>
        <v>42.809854183391998</v>
      </c>
      <c r="Z3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3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39">
        <f>MainTbl[[#This Row],[F_from_solvents]]+MainTbl[[#This Row],[F_from_salts]]</f>
        <v>6</v>
      </c>
      <c r="AC3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73.128508974537624</v>
      </c>
      <c r="AD3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39">
        <f>MainTbl[[#This Row],[H_from_solvents]]+MainTbl[[#This Row],[H_from_salts]]</f>
        <v>73.128508974537624</v>
      </c>
      <c r="AF3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3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39">
        <f>MainTbl[[#This Row],[Li_from_solvents]]+MainTbl[[#This Row],[Li_from_salts]]</f>
        <v>1</v>
      </c>
      <c r="AI3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157.11899530331263</v>
      </c>
      <c r="AJ39" s="2">
        <f>IFERROR(MainTbl[[#This Row],[O_total]]/MainTbl[[#This Row],[TotalAtoms_all]],0)</f>
        <v>0.21118154479876219</v>
      </c>
      <c r="AK39" s="2">
        <f>IFERROR(MainTbl[[#This Row],[O_from_solvents]]/MainTbl[[#This Row],[TotalAtoms_all]],0)</f>
        <v>0.21118154479876219</v>
      </c>
      <c r="AL39" s="2">
        <f>IFERROR(MainTbl[[#This Row],[O_from_salts]]/MainTbl[[#This Row],[TotalAtoms_all]],0)</f>
        <v>0</v>
      </c>
      <c r="AM39" s="2">
        <f>IFERROR(MainTbl[[#This Row],[C_total]]/MainTbl[[#This Row],[TotalAtoms_all]],0)</f>
        <v>0.27246771850054857</v>
      </c>
      <c r="AN39" s="2">
        <f>IFERROR(MainTbl[[#This Row],[C_from_solvents]]/MainTbl[[#This Row],[TotalAtoms_all]],0)</f>
        <v>0.27246771850054857</v>
      </c>
      <c r="AO39" s="2">
        <f>IFERROR(MainTbl[[#This Row],[C_from_salts]]/MainTbl[[#This Row],[TotalAtoms_all]],0)</f>
        <v>0</v>
      </c>
      <c r="AP39" s="2">
        <f>IFERROR(MainTbl[[#This Row],[F_total]]/MainTbl[[#This Row],[TotalAtoms_all]],0)</f>
        <v>3.8187616897735463E-2</v>
      </c>
      <c r="AQ39" s="2">
        <f>IFERROR(MainTbl[[#This Row],[F_from_solvents]]/MainTbl[[#This Row],[TotalAtoms_all]],0)</f>
        <v>0</v>
      </c>
      <c r="AR39" s="2">
        <f>IFERROR(MainTbl[[#This Row],[F_from_salts]]/MainTbl[[#This Row],[TotalAtoms_all]],0)</f>
        <v>3.8187616897735463E-2</v>
      </c>
      <c r="AS39" s="2">
        <f>IFERROR(MainTbl[[#This Row],[F_total]]/MainTbl[[#This Row],[O_total]],0)</f>
        <v>0.18082838125900144</v>
      </c>
      <c r="AT39" s="2">
        <f>IFERROR(MainTbl[[#This Row],[F_total]]/MainTbl[[#This Row],[C_total]],0)</f>
        <v>0.14015464697209104</v>
      </c>
      <c r="AU39" s="2">
        <f>IFERROR(MainTbl[[#This Row],[O_total]]/MainTbl[[#This Row],[C_total]],0)</f>
        <v>0.7750699641078288</v>
      </c>
      <c r="AV39" s="2">
        <f>IFERROR((MainTbl[[#This Row],[TotalAtoms_all]]-(MainTbl[[#This Row],[C_total]]+MainTbl[[#This Row],[H_total]]+MainTbl[[#This Row],[Li_total]]))/MainTbl[[#This Row],[C_total]],0)</f>
        <v>0.93858371890860159</v>
      </c>
      <c r="AW39" t="str">
        <f>IFERROR(VLOOKUP(MainTbl[[#This Row],[salt_1_smiles]],SaltTbl[],MATCH("Salt",SaltTbl[#Headers],0),FALSE),"")</f>
        <v>LiPF6</v>
      </c>
      <c r="AX39" t="str">
        <f>IFERROR(VLOOKUP(MainTbl[[#This Row],[salt_2_smiles]],SaltTbl[],MATCH("Salt",SaltTbl[#Headers],0),FALSE),"")</f>
        <v/>
      </c>
      <c r="AY39" t="str">
        <f>IFERROR(VLOOKUP(MainTbl[[#This Row],[solvent_1_smiles]],SolvTbl[],MATCH("Solvent",SolvTbl[#Headers],0),FALSE),"")</f>
        <v>Ethylene carbonate</v>
      </c>
      <c r="AZ39" t="str">
        <f>IFERROR(VLOOKUP(MainTbl[[#This Row],[solvent_2_smiles]],SolvTbl[],MATCH("Solvent",SolvTbl[#Headers],0),FALSE),"")</f>
        <v>Diethyl Carbonate</v>
      </c>
      <c r="BA39" t="str">
        <f>IFERROR(VLOOKUP(MainTbl[[#This Row],[solvent_3_smiles]],SolvTbl[],MATCH("Solvent",SolvTbl[#Headers],0),FALSE),"")</f>
        <v/>
      </c>
      <c r="BB39">
        <f>--(MainTbl[[#This Row],[solv_1_ratio]]&gt;0)+--(MainTbl[[#This Row],[solv_2_ratio]]&gt;0)+--(MainTbl[[#This Row],[solv_3_ratio]]&gt;0)</f>
        <v>2</v>
      </c>
      <c r="BC39" t="str">
        <f>IF(AND(MainTbl[[#This Row],[SaltName1]]&lt;&gt;"",MainTbl[[#This Row],[salt_1_conc]]&gt;0),TEXT(MainTbl[[#This Row],[salt_1_conc]],"0.###")&amp;" M "&amp;MainTbl[[#This Row],[SaltName1]],"")</f>
        <v>1. M LiPF6</v>
      </c>
      <c r="BD39" t="str">
        <f>IF(AND(MainTbl[[#This Row],[SaltName2]]&lt;&gt;"",MainTbl[[#This Row],[salt_2_conc]]&gt;0),TEXT(MainTbl[[#This Row],[salt_2_conc]],"0.###")&amp;" M "&amp;MainTbl[[#This Row],[SaltName2]],"")</f>
        <v/>
      </c>
      <c r="BE3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39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41.67%</v>
      </c>
      <c r="BG39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58.33%</v>
      </c>
      <c r="BH3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3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41.67% + Diethyl Carbonate 58.33%</v>
      </c>
      <c r="BJ39" t="str">
        <f>TRIM(_xlfn.CONCAT(MainTbl[[#This Row],[Salt_text]]," ",MainTbl[[#This Row],[Solvent_text]]))</f>
        <v>1. M LiPF6 Ethylene carbonate 41.67% + Diethyl Carbonate 58.33%</v>
      </c>
    </row>
    <row r="40" spans="1:62" x14ac:dyDescent="0.25">
      <c r="A40" t="s">
        <v>19</v>
      </c>
      <c r="B40" t="s">
        <v>28</v>
      </c>
      <c r="D40" t="s">
        <v>29</v>
      </c>
      <c r="F40" t="s">
        <v>41</v>
      </c>
      <c r="G40">
        <v>0.5</v>
      </c>
      <c r="H40">
        <v>0.5</v>
      </c>
      <c r="I40">
        <v>0</v>
      </c>
      <c r="J40">
        <v>1</v>
      </c>
      <c r="K40">
        <v>0</v>
      </c>
      <c r="L40">
        <v>0.93</v>
      </c>
      <c r="M40">
        <f t="shared" si="0"/>
        <v>93</v>
      </c>
      <c r="N40">
        <f t="shared" si="1"/>
        <v>1.1549019599857435</v>
      </c>
      <c r="O40">
        <f>IFERROR(MainTbl[[#This Row],[solv_1_ratio]]*VLOOKUP(MainTbl[[#This Row],[solvent_1_smiles]],SolvTbl[],13,FALSE),0)</f>
        <v>7.4947196293520486</v>
      </c>
      <c r="P40">
        <f>IFERROR(MainTbl[[#This Row],[solv_2_ratio]]*VLOOKUP(MainTbl[[#This Row],[solvent_2_smiles]],SolvTbl[],13,FALSE),0)</f>
        <v>4.1268094472191654</v>
      </c>
      <c r="Q40">
        <f>IFERROR(MainTbl[[#This Row],[solv_3_ratio]]*VLOOKUP(MainTbl[[#This Row],[solvent_3_smiles]],SolvTbl[],13,FALSE),0)</f>
        <v>0</v>
      </c>
      <c r="R40">
        <f>IFERROR(MainTbl[[#This Row],[salt_1_conc]],0)</f>
        <v>1</v>
      </c>
      <c r="S40">
        <f>IFERROR(MainTbl[[#This Row],[salt_2_conc]],0)</f>
        <v>0</v>
      </c>
      <c r="T4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34.864587229713642</v>
      </c>
      <c r="U4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0">
        <f>MainTbl[[#This Row],[O_from_solvents]]+MainTbl[[#This Row],[O_from_salts]]</f>
        <v>34.864587229713642</v>
      </c>
      <c r="W4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43.118206124151975</v>
      </c>
      <c r="X4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0">
        <f>MainTbl[[#This Row],[C_from_solvents]]+MainTbl[[#This Row],[C_from_salts]]</f>
        <v>43.118206124151975</v>
      </c>
      <c r="Z4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4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40">
        <f>MainTbl[[#This Row],[F_from_solvents]]+MainTbl[[#This Row],[F_from_salts]]</f>
        <v>6</v>
      </c>
      <c r="AC4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71.246972989599854</v>
      </c>
      <c r="AD4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0">
        <f>MainTbl[[#This Row],[H_from_solvents]]+MainTbl[[#This Row],[H_from_salts]]</f>
        <v>71.246972989599854</v>
      </c>
      <c r="AF4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40">
        <f>MainTbl[[#This Row],[Li_from_solvents]]+MainTbl[[#This Row],[Li_from_salts]]</f>
        <v>1</v>
      </c>
      <c r="AI4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157.22976634346549</v>
      </c>
      <c r="AJ40" s="2">
        <f>IFERROR(MainTbl[[#This Row],[O_total]]/MainTbl[[#This Row],[TotalAtoms_all]],0)</f>
        <v>0.22174291828146969</v>
      </c>
      <c r="AK40" s="2">
        <f>IFERROR(MainTbl[[#This Row],[O_from_solvents]]/MainTbl[[#This Row],[TotalAtoms_all]],0)</f>
        <v>0.22174291828146969</v>
      </c>
      <c r="AL40" s="2">
        <f>IFERROR(MainTbl[[#This Row],[O_from_salts]]/MainTbl[[#This Row],[TotalAtoms_all]],0)</f>
        <v>0</v>
      </c>
      <c r="AM40" s="2">
        <f>IFERROR(MainTbl[[#This Row],[C_total]]/MainTbl[[#This Row],[TotalAtoms_all]],0)</f>
        <v>0.27423691535584338</v>
      </c>
      <c r="AN40" s="2">
        <f>IFERROR(MainTbl[[#This Row],[C_from_solvents]]/MainTbl[[#This Row],[TotalAtoms_all]],0)</f>
        <v>0.27423691535584338</v>
      </c>
      <c r="AO40" s="2">
        <f>IFERROR(MainTbl[[#This Row],[C_from_salts]]/MainTbl[[#This Row],[TotalAtoms_all]],0)</f>
        <v>0</v>
      </c>
      <c r="AP40" s="2">
        <f>IFERROR(MainTbl[[#This Row],[F_total]]/MainTbl[[#This Row],[TotalAtoms_all]],0)</f>
        <v>3.8160713073204677E-2</v>
      </c>
      <c r="AQ40" s="2">
        <f>IFERROR(MainTbl[[#This Row],[F_from_solvents]]/MainTbl[[#This Row],[TotalAtoms_all]],0)</f>
        <v>0</v>
      </c>
      <c r="AR40" s="2">
        <f>IFERROR(MainTbl[[#This Row],[F_from_salts]]/MainTbl[[#This Row],[TotalAtoms_all]],0)</f>
        <v>3.8160713073204677E-2</v>
      </c>
      <c r="AS40" s="2">
        <f>IFERROR(MainTbl[[#This Row],[F_total]]/MainTbl[[#This Row],[O_total]],0)</f>
        <v>0.17209439367423368</v>
      </c>
      <c r="AT40" s="2">
        <f>IFERROR(MainTbl[[#This Row],[F_total]]/MainTbl[[#This Row],[C_total]],0)</f>
        <v>0.13915235672662171</v>
      </c>
      <c r="AU40" s="2">
        <f>IFERROR(MainTbl[[#This Row],[O_total]]/MainTbl[[#This Row],[C_total]],0)</f>
        <v>0.80858157988592205</v>
      </c>
      <c r="AV40" s="2">
        <f>IFERROR((MainTbl[[#This Row],[TotalAtoms_all]]-(MainTbl[[#This Row],[C_total]]+MainTbl[[#This Row],[H_total]]+MainTbl[[#This Row],[Li_total]]))/MainTbl[[#This Row],[C_total]],0)</f>
        <v>0.97092599606698116</v>
      </c>
      <c r="AW40" t="str">
        <f>IFERROR(VLOOKUP(MainTbl[[#This Row],[salt_1_smiles]],SaltTbl[],MATCH("Salt",SaltTbl[#Headers],0),FALSE),"")</f>
        <v>LiPF6</v>
      </c>
      <c r="AX40" t="str">
        <f>IFERROR(VLOOKUP(MainTbl[[#This Row],[salt_2_smiles]],SaltTbl[],MATCH("Salt",SaltTbl[#Headers],0),FALSE),"")</f>
        <v/>
      </c>
      <c r="AY40" t="str">
        <f>IFERROR(VLOOKUP(MainTbl[[#This Row],[solvent_1_smiles]],SolvTbl[],MATCH("Solvent",SolvTbl[#Headers],0),FALSE),"")</f>
        <v>Ethylene carbonate</v>
      </c>
      <c r="AZ40" t="str">
        <f>IFERROR(VLOOKUP(MainTbl[[#This Row],[solvent_2_smiles]],SolvTbl[],MATCH("Solvent",SolvTbl[#Headers],0),FALSE),"")</f>
        <v>Diethyl Carbonate</v>
      </c>
      <c r="BA40" t="str">
        <f>IFERROR(VLOOKUP(MainTbl[[#This Row],[solvent_3_smiles]],SolvTbl[],MATCH("Solvent",SolvTbl[#Headers],0),FALSE),"")</f>
        <v/>
      </c>
      <c r="BB40">
        <f>--(MainTbl[[#This Row],[solv_1_ratio]]&gt;0)+--(MainTbl[[#This Row],[solv_2_ratio]]&gt;0)+--(MainTbl[[#This Row],[solv_3_ratio]]&gt;0)</f>
        <v>2</v>
      </c>
      <c r="BC40" t="str">
        <f>IF(AND(MainTbl[[#This Row],[SaltName1]]&lt;&gt;"",MainTbl[[#This Row],[salt_1_conc]]&gt;0),TEXT(MainTbl[[#This Row],[salt_1_conc]],"0.###")&amp;" M "&amp;MainTbl[[#This Row],[SaltName1]],"")</f>
        <v>1. M LiPF6</v>
      </c>
      <c r="BD40" t="str">
        <f>IF(AND(MainTbl[[#This Row],[SaltName2]]&lt;&gt;"",MainTbl[[#This Row],[salt_2_conc]]&gt;0),TEXT(MainTbl[[#This Row],[salt_2_conc]],"0.###")&amp;" M "&amp;MainTbl[[#This Row],[SaltName2]],"")</f>
        <v/>
      </c>
      <c r="BE4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40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40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50.%</v>
      </c>
      <c r="BH4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Diethyl Carbonate 50.%</v>
      </c>
      <c r="BJ40" t="str">
        <f>TRIM(_xlfn.CONCAT(MainTbl[[#This Row],[Salt_text]]," ",MainTbl[[#This Row],[Solvent_text]]))</f>
        <v>1. M LiPF6 Ethylene carbonate 50.% + Diethyl Carbonate 50.%</v>
      </c>
    </row>
    <row r="41" spans="1:62" x14ac:dyDescent="0.25">
      <c r="A41" t="s">
        <v>19</v>
      </c>
      <c r="B41" t="s">
        <v>28</v>
      </c>
      <c r="D41" t="s">
        <v>29</v>
      </c>
      <c r="F41" t="s">
        <v>24</v>
      </c>
      <c r="G41">
        <v>0.5</v>
      </c>
      <c r="H41">
        <v>0.5</v>
      </c>
      <c r="I41">
        <v>0</v>
      </c>
      <c r="J41">
        <v>1</v>
      </c>
      <c r="K41">
        <v>0</v>
      </c>
      <c r="L41">
        <v>0.95</v>
      </c>
      <c r="M41">
        <f t="shared" si="0"/>
        <v>95</v>
      </c>
      <c r="N41">
        <f t="shared" si="1"/>
        <v>1.3010299956639808</v>
      </c>
      <c r="O41">
        <f>IFERROR(MainTbl[[#This Row],[solv_1_ratio]]*VLOOKUP(MainTbl[[#This Row],[solvent_1_smiles]],SolvTbl[],13,FALSE),0)</f>
        <v>7.4947196293520486</v>
      </c>
      <c r="P41">
        <f>IFERROR(MainTbl[[#This Row],[solv_2_ratio]]*VLOOKUP(MainTbl[[#This Row],[solvent_2_smiles]],SolvTbl[],13,FALSE),0)</f>
        <v>4.1268094472191654</v>
      </c>
      <c r="Q41">
        <f>IFERROR(MainTbl[[#This Row],[solv_3_ratio]]*VLOOKUP(MainTbl[[#This Row],[solvent_3_smiles]],SolvTbl[],13,FALSE),0)</f>
        <v>0</v>
      </c>
      <c r="R41">
        <f>IFERROR(MainTbl[[#This Row],[salt_1_conc]],0)</f>
        <v>1</v>
      </c>
      <c r="S41">
        <f>IFERROR(MainTbl[[#This Row],[salt_2_conc]],0)</f>
        <v>0</v>
      </c>
      <c r="T4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34.864587229713642</v>
      </c>
      <c r="U4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1">
        <f>MainTbl[[#This Row],[O_from_solvents]]+MainTbl[[#This Row],[O_from_salts]]</f>
        <v>34.864587229713642</v>
      </c>
      <c r="W4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43.118206124151975</v>
      </c>
      <c r="X4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1">
        <f>MainTbl[[#This Row],[C_from_solvents]]+MainTbl[[#This Row],[C_from_salts]]</f>
        <v>43.118206124151975</v>
      </c>
      <c r="Z4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4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41">
        <f>MainTbl[[#This Row],[F_from_solvents]]+MainTbl[[#This Row],[F_from_salts]]</f>
        <v>6</v>
      </c>
      <c r="AC4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71.246972989599854</v>
      </c>
      <c r="AD4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1">
        <f>MainTbl[[#This Row],[H_from_solvents]]+MainTbl[[#This Row],[H_from_salts]]</f>
        <v>71.246972989599854</v>
      </c>
      <c r="AF4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41">
        <f>MainTbl[[#This Row],[Li_from_solvents]]+MainTbl[[#This Row],[Li_from_salts]]</f>
        <v>1</v>
      </c>
      <c r="AI4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157.22976634346549</v>
      </c>
      <c r="AJ41" s="2">
        <f>IFERROR(MainTbl[[#This Row],[O_total]]/MainTbl[[#This Row],[TotalAtoms_all]],0)</f>
        <v>0.22174291828146969</v>
      </c>
      <c r="AK41" s="2">
        <f>IFERROR(MainTbl[[#This Row],[O_from_solvents]]/MainTbl[[#This Row],[TotalAtoms_all]],0)</f>
        <v>0.22174291828146969</v>
      </c>
      <c r="AL41" s="2">
        <f>IFERROR(MainTbl[[#This Row],[O_from_salts]]/MainTbl[[#This Row],[TotalAtoms_all]],0)</f>
        <v>0</v>
      </c>
      <c r="AM41" s="2">
        <f>IFERROR(MainTbl[[#This Row],[C_total]]/MainTbl[[#This Row],[TotalAtoms_all]],0)</f>
        <v>0.27423691535584338</v>
      </c>
      <c r="AN41" s="2">
        <f>IFERROR(MainTbl[[#This Row],[C_from_solvents]]/MainTbl[[#This Row],[TotalAtoms_all]],0)</f>
        <v>0.27423691535584338</v>
      </c>
      <c r="AO41" s="2">
        <f>IFERROR(MainTbl[[#This Row],[C_from_salts]]/MainTbl[[#This Row],[TotalAtoms_all]],0)</f>
        <v>0</v>
      </c>
      <c r="AP41" s="2">
        <f>IFERROR(MainTbl[[#This Row],[F_total]]/MainTbl[[#This Row],[TotalAtoms_all]],0)</f>
        <v>3.8160713073204677E-2</v>
      </c>
      <c r="AQ41" s="2">
        <f>IFERROR(MainTbl[[#This Row],[F_from_solvents]]/MainTbl[[#This Row],[TotalAtoms_all]],0)</f>
        <v>0</v>
      </c>
      <c r="AR41" s="2">
        <f>IFERROR(MainTbl[[#This Row],[F_from_salts]]/MainTbl[[#This Row],[TotalAtoms_all]],0)</f>
        <v>3.8160713073204677E-2</v>
      </c>
      <c r="AS41" s="2">
        <f>IFERROR(MainTbl[[#This Row],[F_total]]/MainTbl[[#This Row],[O_total]],0)</f>
        <v>0.17209439367423368</v>
      </c>
      <c r="AT41" s="2">
        <f>IFERROR(MainTbl[[#This Row],[F_total]]/MainTbl[[#This Row],[C_total]],0)</f>
        <v>0.13915235672662171</v>
      </c>
      <c r="AU41" s="2">
        <f>IFERROR(MainTbl[[#This Row],[O_total]]/MainTbl[[#This Row],[C_total]],0)</f>
        <v>0.80858157988592205</v>
      </c>
      <c r="AV41" s="2">
        <f>IFERROR((MainTbl[[#This Row],[TotalAtoms_all]]-(MainTbl[[#This Row],[C_total]]+MainTbl[[#This Row],[H_total]]+MainTbl[[#This Row],[Li_total]]))/MainTbl[[#This Row],[C_total]],0)</f>
        <v>0.97092599606698116</v>
      </c>
      <c r="AW41" t="str">
        <f>IFERROR(VLOOKUP(MainTbl[[#This Row],[salt_1_smiles]],SaltTbl[],MATCH("Salt",SaltTbl[#Headers],0),FALSE),"")</f>
        <v>LiPF6</v>
      </c>
      <c r="AX41" t="str">
        <f>IFERROR(VLOOKUP(MainTbl[[#This Row],[salt_2_smiles]],SaltTbl[],MATCH("Salt",SaltTbl[#Headers],0),FALSE),"")</f>
        <v/>
      </c>
      <c r="AY41" t="str">
        <f>IFERROR(VLOOKUP(MainTbl[[#This Row],[solvent_1_smiles]],SolvTbl[],MATCH("Solvent",SolvTbl[#Headers],0),FALSE),"")</f>
        <v>Ethylene carbonate</v>
      </c>
      <c r="AZ41" t="str">
        <f>IFERROR(VLOOKUP(MainTbl[[#This Row],[solvent_2_smiles]],SolvTbl[],MATCH("Solvent",SolvTbl[#Headers],0),FALSE),"")</f>
        <v>Diethyl Carbonate</v>
      </c>
      <c r="BA41" t="str">
        <f>IFERROR(VLOOKUP(MainTbl[[#This Row],[solvent_3_smiles]],SolvTbl[],MATCH("Solvent",SolvTbl[#Headers],0),FALSE),"")</f>
        <v/>
      </c>
      <c r="BB41">
        <f>--(MainTbl[[#This Row],[solv_1_ratio]]&gt;0)+--(MainTbl[[#This Row],[solv_2_ratio]]&gt;0)+--(MainTbl[[#This Row],[solv_3_ratio]]&gt;0)</f>
        <v>2</v>
      </c>
      <c r="BC41" t="str">
        <f>IF(AND(MainTbl[[#This Row],[SaltName1]]&lt;&gt;"",MainTbl[[#This Row],[salt_1_conc]]&gt;0),TEXT(MainTbl[[#This Row],[salt_1_conc]],"0.###")&amp;" M "&amp;MainTbl[[#This Row],[SaltName1]],"")</f>
        <v>1. M LiPF6</v>
      </c>
      <c r="BD41" t="str">
        <f>IF(AND(MainTbl[[#This Row],[SaltName2]]&lt;&gt;"",MainTbl[[#This Row],[salt_2_conc]]&gt;0),TEXT(MainTbl[[#This Row],[salt_2_conc]],"0.###")&amp;" M "&amp;MainTbl[[#This Row],[SaltName2]],"")</f>
        <v/>
      </c>
      <c r="BE4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41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41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50.%</v>
      </c>
      <c r="BH4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Diethyl Carbonate 50.%</v>
      </c>
      <c r="BJ41" t="str">
        <f>TRIM(_xlfn.CONCAT(MainTbl[[#This Row],[Salt_text]]," ",MainTbl[[#This Row],[Solvent_text]]))</f>
        <v>1. M LiPF6 Ethylene carbonate 50.% + Diethyl Carbonate 50.%</v>
      </c>
    </row>
    <row r="42" spans="1:62" x14ac:dyDescent="0.25">
      <c r="A42" t="s">
        <v>19</v>
      </c>
      <c r="B42" t="s">
        <v>27</v>
      </c>
      <c r="D42" t="s">
        <v>29</v>
      </c>
      <c r="F42" t="s">
        <v>24</v>
      </c>
      <c r="G42">
        <v>0.33333333300000001</v>
      </c>
      <c r="H42">
        <v>0.66666666699999999</v>
      </c>
      <c r="I42">
        <v>0</v>
      </c>
      <c r="J42">
        <v>1</v>
      </c>
      <c r="K42">
        <v>0</v>
      </c>
      <c r="L42">
        <v>0.95199999999999996</v>
      </c>
      <c r="M42">
        <f t="shared" si="0"/>
        <v>95.199999999999989</v>
      </c>
      <c r="N42">
        <f t="shared" si="1"/>
        <v>1.3187587626244124</v>
      </c>
      <c r="O42">
        <f>IFERROR(MainTbl[[#This Row],[solv_1_ratio]]*VLOOKUP(MainTbl[[#This Row],[solvent_1_smiles]],SolvTbl[],13,FALSE),0)</f>
        <v>4.9964797479048864</v>
      </c>
      <c r="P42">
        <f>IFERROR(MainTbl[[#This Row],[solv_2_ratio]]*VLOOKUP(MainTbl[[#This Row],[solvent_2_smiles]],SolvTbl[],13,FALSE),0)</f>
        <v>7.9190627421790003</v>
      </c>
      <c r="Q42">
        <f>IFERROR(MainTbl[[#This Row],[solv_3_ratio]]*VLOOKUP(MainTbl[[#This Row],[solvent_3_smiles]],SolvTbl[],13,FALSE),0)</f>
        <v>0</v>
      </c>
      <c r="R42">
        <f>IFERROR(MainTbl[[#This Row],[salt_1_conc]],0)</f>
        <v>1</v>
      </c>
      <c r="S42">
        <f>IFERROR(MainTbl[[#This Row],[salt_2_conc]],0)</f>
        <v>0</v>
      </c>
      <c r="T4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38.74662747025166</v>
      </c>
      <c r="U4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2">
        <f>MainTbl[[#This Row],[O_from_solvents]]+MainTbl[[#This Row],[O_from_salts]]</f>
        <v>38.74662747025166</v>
      </c>
      <c r="W4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38.74662747025166</v>
      </c>
      <c r="X4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2">
        <f>MainTbl[[#This Row],[C_from_solvents]]+MainTbl[[#This Row],[C_from_salts]]</f>
        <v>38.74662747025166</v>
      </c>
      <c r="Z4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4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42">
        <f>MainTbl[[#This Row],[F_from_solvents]]+MainTbl[[#This Row],[F_from_salts]]</f>
        <v>6</v>
      </c>
      <c r="AC4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67.500295444693549</v>
      </c>
      <c r="AD4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2">
        <f>MainTbl[[#This Row],[H_from_solvents]]+MainTbl[[#This Row],[H_from_salts]]</f>
        <v>67.500295444693549</v>
      </c>
      <c r="AF4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42">
        <f>MainTbl[[#This Row],[Li_from_solvents]]+MainTbl[[#This Row],[Li_from_salts]]</f>
        <v>1</v>
      </c>
      <c r="AI4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152.99355038519687</v>
      </c>
      <c r="AJ42" s="2">
        <f>IFERROR(MainTbl[[#This Row],[O_total]]/MainTbl[[#This Row],[TotalAtoms_all]],0)</f>
        <v>0.25325660704453234</v>
      </c>
      <c r="AK42" s="2">
        <f>IFERROR(MainTbl[[#This Row],[O_from_solvents]]/MainTbl[[#This Row],[TotalAtoms_all]],0)</f>
        <v>0.25325660704453234</v>
      </c>
      <c r="AL42" s="2">
        <f>IFERROR(MainTbl[[#This Row],[O_from_salts]]/MainTbl[[#This Row],[TotalAtoms_all]],0)</f>
        <v>0</v>
      </c>
      <c r="AM42" s="2">
        <f>IFERROR(MainTbl[[#This Row],[C_total]]/MainTbl[[#This Row],[TotalAtoms_all]],0)</f>
        <v>0.25325660704453234</v>
      </c>
      <c r="AN42" s="2">
        <f>IFERROR(MainTbl[[#This Row],[C_from_solvents]]/MainTbl[[#This Row],[TotalAtoms_all]],0)</f>
        <v>0.25325660704453234</v>
      </c>
      <c r="AO42" s="2">
        <f>IFERROR(MainTbl[[#This Row],[C_from_salts]]/MainTbl[[#This Row],[TotalAtoms_all]],0)</f>
        <v>0</v>
      </c>
      <c r="AP42" s="2">
        <f>IFERROR(MainTbl[[#This Row],[F_total]]/MainTbl[[#This Row],[TotalAtoms_all]],0)</f>
        <v>3.9217339455771855E-2</v>
      </c>
      <c r="AQ42" s="2">
        <f>IFERROR(MainTbl[[#This Row],[F_from_solvents]]/MainTbl[[#This Row],[TotalAtoms_all]],0)</f>
        <v>0</v>
      </c>
      <c r="AR42" s="2">
        <f>IFERROR(MainTbl[[#This Row],[F_from_salts]]/MainTbl[[#This Row],[TotalAtoms_all]],0)</f>
        <v>3.9217339455771855E-2</v>
      </c>
      <c r="AS42" s="2">
        <f>IFERROR(MainTbl[[#This Row],[F_total]]/MainTbl[[#This Row],[O_total]],0)</f>
        <v>0.15485218693179414</v>
      </c>
      <c r="AT42" s="2">
        <f>IFERROR(MainTbl[[#This Row],[F_total]]/MainTbl[[#This Row],[C_total]],0)</f>
        <v>0.15485218693179414</v>
      </c>
      <c r="AU42" s="2">
        <f>IFERROR(MainTbl[[#This Row],[O_total]]/MainTbl[[#This Row],[C_total]],0)</f>
        <v>1</v>
      </c>
      <c r="AV42" s="2">
        <f>IFERROR((MainTbl[[#This Row],[TotalAtoms_all]]-(MainTbl[[#This Row],[C_total]]+MainTbl[[#This Row],[H_total]]+MainTbl[[#This Row],[Li_total]]))/MainTbl[[#This Row],[C_total]],0)</f>
        <v>1.1806608847537601</v>
      </c>
      <c r="AW42" t="str">
        <f>IFERROR(VLOOKUP(MainTbl[[#This Row],[salt_1_smiles]],SaltTbl[],MATCH("Salt",SaltTbl[#Headers],0),FALSE),"")</f>
        <v>LiPF6</v>
      </c>
      <c r="AX42" t="str">
        <f>IFERROR(VLOOKUP(MainTbl[[#This Row],[salt_2_smiles]],SaltTbl[],MATCH("Salt",SaltTbl[#Headers],0),FALSE),"")</f>
        <v/>
      </c>
      <c r="AY42" t="str">
        <f>IFERROR(VLOOKUP(MainTbl[[#This Row],[solvent_1_smiles]],SolvTbl[],MATCH("Solvent",SolvTbl[#Headers],0),FALSE),"")</f>
        <v>Ethylene carbonate</v>
      </c>
      <c r="AZ42" t="str">
        <f>IFERROR(VLOOKUP(MainTbl[[#This Row],[solvent_2_smiles]],SolvTbl[],MATCH("Solvent",SolvTbl[#Headers],0),FALSE),"")</f>
        <v>DMC (C3H6O3)</v>
      </c>
      <c r="BA42" t="str">
        <f>IFERROR(VLOOKUP(MainTbl[[#This Row],[solvent_3_smiles]],SolvTbl[],MATCH("Solvent",SolvTbl[#Headers],0),FALSE),"")</f>
        <v/>
      </c>
      <c r="BB42">
        <f>--(MainTbl[[#This Row],[solv_1_ratio]]&gt;0)+--(MainTbl[[#This Row],[solv_2_ratio]]&gt;0)+--(MainTbl[[#This Row],[solv_3_ratio]]&gt;0)</f>
        <v>2</v>
      </c>
      <c r="BC42" t="str">
        <f>IF(AND(MainTbl[[#This Row],[SaltName1]]&lt;&gt;"",MainTbl[[#This Row],[salt_1_conc]]&gt;0),TEXT(MainTbl[[#This Row],[salt_1_conc]],"0.###")&amp;" M "&amp;MainTbl[[#This Row],[SaltName1]],"")</f>
        <v>1. M LiPF6</v>
      </c>
      <c r="BD42" t="str">
        <f>IF(AND(MainTbl[[#This Row],[SaltName2]]&lt;&gt;"",MainTbl[[#This Row],[salt_2_conc]]&gt;0),TEXT(MainTbl[[#This Row],[salt_2_conc]],"0.###")&amp;" M "&amp;MainTbl[[#This Row],[SaltName2]],"")</f>
        <v/>
      </c>
      <c r="BE4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42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33.33%</v>
      </c>
      <c r="BG42" t="str">
        <f>IF(MainTbl[[#This Row],[SolvCount]]=1,MainTbl[[#This Row],[SolvName2]],IF(MainTbl[[#This Row],[solv_2_ratio]]&gt;0,MainTbl[[#This Row],[SolvName2]]&amp;" "&amp;TEXT(MainTbl[[#This Row],[solv_2_ratio]]*100,"0.##")&amp;"%",""))</f>
        <v>DMC (C3H6O3) 66.67%</v>
      </c>
      <c r="BH4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33.33% + DMC (C3H6O3) 66.67%</v>
      </c>
      <c r="BJ42" t="str">
        <f>TRIM(_xlfn.CONCAT(MainTbl[[#This Row],[Salt_text]]," ",MainTbl[[#This Row],[Solvent_text]]))</f>
        <v>1. M LiPF6 Ethylene carbonate 33.33% + DMC (C3H6O3) 66.67%</v>
      </c>
    </row>
    <row r="43" spans="1:62" x14ac:dyDescent="0.25">
      <c r="A43" t="s">
        <v>41</v>
      </c>
      <c r="D43" t="s">
        <v>29</v>
      </c>
      <c r="G43">
        <v>1</v>
      </c>
      <c r="H43">
        <v>0</v>
      </c>
      <c r="I43">
        <v>0</v>
      </c>
      <c r="J43">
        <v>1.2</v>
      </c>
      <c r="K43">
        <v>0</v>
      </c>
      <c r="L43">
        <v>0.95</v>
      </c>
      <c r="M43">
        <f t="shared" si="0"/>
        <v>95</v>
      </c>
      <c r="N43">
        <f t="shared" si="1"/>
        <v>1.3010299956639808</v>
      </c>
      <c r="O43">
        <f>IFERROR(MainTbl[[#This Row],[solv_1_ratio]]*VLOOKUP(MainTbl[[#This Row],[solvent_1_smiles]],SolvTbl[],13,FALSE),0)</f>
        <v>14.989439258704097</v>
      </c>
      <c r="P43">
        <f>IFERROR(MainTbl[[#This Row],[solv_2_ratio]]*VLOOKUP(MainTbl[[#This Row],[solvent_2_smiles]],SolvTbl[],13,FALSE),0)</f>
        <v>0</v>
      </c>
      <c r="Q43">
        <f>IFERROR(MainTbl[[#This Row],[solv_3_ratio]]*VLOOKUP(MainTbl[[#This Row],[solvent_3_smiles]],SolvTbl[],13,FALSE),0)</f>
        <v>0</v>
      </c>
      <c r="R43">
        <f>IFERROR(MainTbl[[#This Row],[salt_1_conc]],0)</f>
        <v>1.2</v>
      </c>
      <c r="S43">
        <f>IFERROR(MainTbl[[#This Row],[salt_2_conc]],0)</f>
        <v>0</v>
      </c>
      <c r="T4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44.968317776112293</v>
      </c>
      <c r="U4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3">
        <f>MainTbl[[#This Row],[O_from_solvents]]+MainTbl[[#This Row],[O_from_salts]]</f>
        <v>44.968317776112293</v>
      </c>
      <c r="W4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44.968317776112293</v>
      </c>
      <c r="X4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3">
        <f>MainTbl[[#This Row],[C_from_solvents]]+MainTbl[[#This Row],[C_from_salts]]</f>
        <v>44.968317776112293</v>
      </c>
      <c r="Z4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4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7.1999999999999993</v>
      </c>
      <c r="AB43">
        <f>MainTbl[[#This Row],[F_from_solvents]]+MainTbl[[#This Row],[F_from_salts]]</f>
        <v>7.1999999999999993</v>
      </c>
      <c r="AC4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59.957757034816389</v>
      </c>
      <c r="AD4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3">
        <f>MainTbl[[#This Row],[H_from_solvents]]+MainTbl[[#This Row],[H_from_salts]]</f>
        <v>59.957757034816389</v>
      </c>
      <c r="AF4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43">
        <f>MainTbl[[#This Row],[Li_from_solvents]]+MainTbl[[#This Row],[Li_from_salts]]</f>
        <v>1.2</v>
      </c>
      <c r="AI4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159.49439258704098</v>
      </c>
      <c r="AJ43" s="2">
        <f>IFERROR(MainTbl[[#This Row],[O_total]]/MainTbl[[#This Row],[TotalAtoms_all]],0)</f>
        <v>0.28194293885016491</v>
      </c>
      <c r="AK43" s="2">
        <f>IFERROR(MainTbl[[#This Row],[O_from_solvents]]/MainTbl[[#This Row],[TotalAtoms_all]],0)</f>
        <v>0.28194293885016491</v>
      </c>
      <c r="AL43" s="2">
        <f>IFERROR(MainTbl[[#This Row],[O_from_salts]]/MainTbl[[#This Row],[TotalAtoms_all]],0)</f>
        <v>0</v>
      </c>
      <c r="AM43" s="2">
        <f>IFERROR(MainTbl[[#This Row],[C_total]]/MainTbl[[#This Row],[TotalAtoms_all]],0)</f>
        <v>0.28194293885016491</v>
      </c>
      <c r="AN43" s="2">
        <f>IFERROR(MainTbl[[#This Row],[C_from_solvents]]/MainTbl[[#This Row],[TotalAtoms_all]],0)</f>
        <v>0.28194293885016491</v>
      </c>
      <c r="AO43" s="2">
        <f>IFERROR(MainTbl[[#This Row],[C_from_salts]]/MainTbl[[#This Row],[TotalAtoms_all]],0)</f>
        <v>0</v>
      </c>
      <c r="AP43" s="2">
        <f>IFERROR(MainTbl[[#This Row],[F_total]]/MainTbl[[#This Row],[TotalAtoms_all]],0)</f>
        <v>4.5142652874587665E-2</v>
      </c>
      <c r="AQ43" s="2">
        <f>IFERROR(MainTbl[[#This Row],[F_from_solvents]]/MainTbl[[#This Row],[TotalAtoms_all]],0)</f>
        <v>0</v>
      </c>
      <c r="AR43" s="2">
        <f>IFERROR(MainTbl[[#This Row],[F_from_salts]]/MainTbl[[#This Row],[TotalAtoms_all]],0)</f>
        <v>4.5142652874587665E-2</v>
      </c>
      <c r="AS43" s="2">
        <f>IFERROR(MainTbl[[#This Row],[F_total]]/MainTbl[[#This Row],[O_total]],0)</f>
        <v>0.16011272727272721</v>
      </c>
      <c r="AT43" s="2">
        <f>IFERROR(MainTbl[[#This Row],[F_total]]/MainTbl[[#This Row],[C_total]],0)</f>
        <v>0.16011272727272721</v>
      </c>
      <c r="AU43" s="2">
        <f>IFERROR(MainTbl[[#This Row],[O_total]]/MainTbl[[#This Row],[C_total]],0)</f>
        <v>1</v>
      </c>
      <c r="AV43" s="2">
        <f>IFERROR((MainTbl[[#This Row],[TotalAtoms_all]]-(MainTbl[[#This Row],[C_total]]+MainTbl[[#This Row],[H_total]]+MainTbl[[#This Row],[Li_total]]))/MainTbl[[#This Row],[C_total]],0)</f>
        <v>1.1867981818181816</v>
      </c>
      <c r="AW43" t="str">
        <f>IFERROR(VLOOKUP(MainTbl[[#This Row],[salt_1_smiles]],SaltTbl[],MATCH("Salt",SaltTbl[#Headers],0),FALSE),"")</f>
        <v>LiPF6</v>
      </c>
      <c r="AX43" t="str">
        <f>IFERROR(VLOOKUP(MainTbl[[#This Row],[salt_2_smiles]],SaltTbl[],MATCH("Salt",SaltTbl[#Headers],0),FALSE),"")</f>
        <v/>
      </c>
      <c r="AY43" t="str">
        <f>IFERROR(VLOOKUP(MainTbl[[#This Row],[solvent_1_smiles]],SolvTbl[],MATCH("Solvent",SolvTbl[#Headers],0),FALSE),"")</f>
        <v>Ethylene carbonate</v>
      </c>
      <c r="AZ43" t="str">
        <f>IFERROR(VLOOKUP(MainTbl[[#This Row],[solvent_2_smiles]],SolvTbl[],MATCH("Solvent",SolvTbl[#Headers],0),FALSE),"")</f>
        <v/>
      </c>
      <c r="BA43" t="str">
        <f>IFERROR(VLOOKUP(MainTbl[[#This Row],[solvent_3_smiles]],SolvTbl[],MATCH("Solvent",SolvTbl[#Headers],0),FALSE),"")</f>
        <v/>
      </c>
      <c r="BB43">
        <f>--(MainTbl[[#This Row],[solv_1_ratio]]&gt;0)+--(MainTbl[[#This Row],[solv_2_ratio]]&gt;0)+--(MainTbl[[#This Row],[solv_3_ratio]]&gt;0)</f>
        <v>1</v>
      </c>
      <c r="BC43" t="str">
        <f>IF(AND(MainTbl[[#This Row],[SaltName1]]&lt;&gt;"",MainTbl[[#This Row],[salt_1_conc]]&gt;0),TEXT(MainTbl[[#This Row],[salt_1_conc]],"0.###")&amp;" M "&amp;MainTbl[[#This Row],[SaltName1]],"")</f>
        <v>1.2 M LiPF6</v>
      </c>
      <c r="BD43" t="str">
        <f>IF(AND(MainTbl[[#This Row],[SaltName2]]&lt;&gt;"",MainTbl[[#This Row],[salt_2_conc]]&gt;0),TEXT(MainTbl[[#This Row],[salt_2_conc]],"0.###")&amp;" M "&amp;MainTbl[[#This Row],[SaltName2]],"")</f>
        <v/>
      </c>
      <c r="BE4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LiPF6</v>
      </c>
      <c r="BF43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</v>
      </c>
      <c r="BG43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4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</v>
      </c>
      <c r="BJ43" t="str">
        <f>TRIM(_xlfn.CONCAT(MainTbl[[#This Row],[Salt_text]]," ",MainTbl[[#This Row],[Solvent_text]]))</f>
        <v>1.2 M LiPF6 Ethylene carbonate</v>
      </c>
    </row>
    <row r="44" spans="1:62" x14ac:dyDescent="0.25">
      <c r="A44" t="s">
        <v>19</v>
      </c>
      <c r="B44" t="s">
        <v>38</v>
      </c>
      <c r="D44" t="s">
        <v>29</v>
      </c>
      <c r="F44" t="s">
        <v>42</v>
      </c>
      <c r="G44">
        <v>0.25</v>
      </c>
      <c r="H44">
        <v>0.75</v>
      </c>
      <c r="I44">
        <v>0</v>
      </c>
      <c r="J44">
        <v>1</v>
      </c>
      <c r="K44">
        <v>0</v>
      </c>
      <c r="L44">
        <v>0.97499999999999998</v>
      </c>
      <c r="M44">
        <f t="shared" si="0"/>
        <v>97.5</v>
      </c>
      <c r="N44">
        <f t="shared" si="1"/>
        <v>1.6020599913279621</v>
      </c>
      <c r="O44">
        <f>IFERROR(MainTbl[[#This Row],[solv_1_ratio]]*VLOOKUP(MainTbl[[#This Row],[solvent_1_smiles]],SolvTbl[],13,FALSE),0)</f>
        <v>3.7473598146760243</v>
      </c>
      <c r="P44">
        <f>IFERROR(MainTbl[[#This Row],[solv_2_ratio]]*VLOOKUP(MainTbl[[#This Row],[solvent_2_smiles]],SolvTbl[],13,FALSE),0)</f>
        <v>7.2475601321755168</v>
      </c>
      <c r="Q44">
        <f>IFERROR(MainTbl[[#This Row],[solv_3_ratio]]*VLOOKUP(MainTbl[[#This Row],[solvent_3_smiles]],SolvTbl[],13,FALSE),0)</f>
        <v>0</v>
      </c>
      <c r="R44">
        <f>IFERROR(MainTbl[[#This Row],[salt_1_conc]],0)</f>
        <v>1</v>
      </c>
      <c r="S44">
        <f>IFERROR(MainTbl[[#This Row],[salt_2_conc]],0)</f>
        <v>0</v>
      </c>
      <c r="T4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32.984759840554624</v>
      </c>
      <c r="U4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4">
        <f>MainTbl[[#This Row],[O_from_solvents]]+MainTbl[[#This Row],[O_from_salts]]</f>
        <v>32.984759840554624</v>
      </c>
      <c r="W4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40.232319972730139</v>
      </c>
      <c r="X4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4">
        <f>MainTbl[[#This Row],[C_from_solvents]]+MainTbl[[#This Row],[C_from_salts]]</f>
        <v>40.232319972730139</v>
      </c>
      <c r="Z4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4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44">
        <f>MainTbl[[#This Row],[F_from_solvents]]+MainTbl[[#This Row],[F_from_salts]]</f>
        <v>6</v>
      </c>
      <c r="AC4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72.969920316108229</v>
      </c>
      <c r="AD4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4">
        <f>MainTbl[[#This Row],[H_from_solvents]]+MainTbl[[#This Row],[H_from_salts]]</f>
        <v>72.969920316108229</v>
      </c>
      <c r="AF4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44">
        <f>MainTbl[[#This Row],[Li_from_solvents]]+MainTbl[[#This Row],[Li_from_salts]]</f>
        <v>1</v>
      </c>
      <c r="AI4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154.187000129393</v>
      </c>
      <c r="AJ44" s="2">
        <f>IFERROR(MainTbl[[#This Row],[O_total]]/MainTbl[[#This Row],[TotalAtoms_all]],0)</f>
        <v>0.21392698355162218</v>
      </c>
      <c r="AK44" s="2">
        <f>IFERROR(MainTbl[[#This Row],[O_from_solvents]]/MainTbl[[#This Row],[TotalAtoms_all]],0)</f>
        <v>0.21392698355162218</v>
      </c>
      <c r="AL44" s="2">
        <f>IFERROR(MainTbl[[#This Row],[O_from_salts]]/MainTbl[[#This Row],[TotalAtoms_all]],0)</f>
        <v>0</v>
      </c>
      <c r="AM44" s="2">
        <f>IFERROR(MainTbl[[#This Row],[C_total]]/MainTbl[[#This Row],[TotalAtoms_all]],0)</f>
        <v>0.26093198479098345</v>
      </c>
      <c r="AN44" s="2">
        <f>IFERROR(MainTbl[[#This Row],[C_from_solvents]]/MainTbl[[#This Row],[TotalAtoms_all]],0)</f>
        <v>0.26093198479098345</v>
      </c>
      <c r="AO44" s="2">
        <f>IFERROR(MainTbl[[#This Row],[C_from_salts]]/MainTbl[[#This Row],[TotalAtoms_all]],0)</f>
        <v>0</v>
      </c>
      <c r="AP44" s="2">
        <f>IFERROR(MainTbl[[#This Row],[F_total]]/MainTbl[[#This Row],[TotalAtoms_all]],0)</f>
        <v>3.89137864733397E-2</v>
      </c>
      <c r="AQ44" s="2">
        <f>IFERROR(MainTbl[[#This Row],[F_from_solvents]]/MainTbl[[#This Row],[TotalAtoms_all]],0)</f>
        <v>0</v>
      </c>
      <c r="AR44" s="2">
        <f>IFERROR(MainTbl[[#This Row],[F_from_salts]]/MainTbl[[#This Row],[TotalAtoms_all]],0)</f>
        <v>3.89137864733397E-2</v>
      </c>
      <c r="AS44" s="2">
        <f>IFERROR(MainTbl[[#This Row],[F_total]]/MainTbl[[#This Row],[O_total]],0)</f>
        <v>0.18190218843500644</v>
      </c>
      <c r="AT44" s="2">
        <f>IFERROR(MainTbl[[#This Row],[F_total]]/MainTbl[[#This Row],[C_total]],0)</f>
        <v>0.14913383081231354</v>
      </c>
      <c r="AU44" s="2">
        <f>IFERROR(MainTbl[[#This Row],[O_total]]/MainTbl[[#This Row],[C_total]],0)</f>
        <v>0.81985726557434468</v>
      </c>
      <c r="AV44" s="2">
        <f>IFERROR((MainTbl[[#This Row],[TotalAtoms_all]]-(MainTbl[[#This Row],[C_total]]+MainTbl[[#This Row],[H_total]]+MainTbl[[#This Row],[Li_total]]))/MainTbl[[#This Row],[C_total]],0)</f>
        <v>0.99384673485537733</v>
      </c>
      <c r="AW44" t="str">
        <f>IFERROR(VLOOKUP(MainTbl[[#This Row],[salt_1_smiles]],SaltTbl[],MATCH("Salt",SaltTbl[#Headers],0),FALSE),"")</f>
        <v>LiPF6</v>
      </c>
      <c r="AX44" t="str">
        <f>IFERROR(VLOOKUP(MainTbl[[#This Row],[salt_2_smiles]],SaltTbl[],MATCH("Salt",SaltTbl[#Headers],0),FALSE),"")</f>
        <v/>
      </c>
      <c r="AY44" t="str">
        <f>IFERROR(VLOOKUP(MainTbl[[#This Row],[solvent_1_smiles]],SolvTbl[],MATCH("Solvent",SolvTbl[#Headers],0),FALSE),"")</f>
        <v>Ethylene carbonate</v>
      </c>
      <c r="AZ44" t="str">
        <f>IFERROR(VLOOKUP(MainTbl[[#This Row],[solvent_2_smiles]],SolvTbl[],MATCH("Solvent",SolvTbl[#Headers],0),FALSE),"")</f>
        <v>EMC (C4H8O3)</v>
      </c>
      <c r="BA44" t="str">
        <f>IFERROR(VLOOKUP(MainTbl[[#This Row],[solvent_3_smiles]],SolvTbl[],MATCH("Solvent",SolvTbl[#Headers],0),FALSE),"")</f>
        <v/>
      </c>
      <c r="BB44">
        <f>--(MainTbl[[#This Row],[solv_1_ratio]]&gt;0)+--(MainTbl[[#This Row],[solv_2_ratio]]&gt;0)+--(MainTbl[[#This Row],[solv_3_ratio]]&gt;0)</f>
        <v>2</v>
      </c>
      <c r="BC44" t="str">
        <f>IF(AND(MainTbl[[#This Row],[SaltName1]]&lt;&gt;"",MainTbl[[#This Row],[salt_1_conc]]&gt;0),TEXT(MainTbl[[#This Row],[salt_1_conc]],"0.###")&amp;" M "&amp;MainTbl[[#This Row],[SaltName1]],"")</f>
        <v>1. M LiPF6</v>
      </c>
      <c r="BD44" t="str">
        <f>IF(AND(MainTbl[[#This Row],[SaltName2]]&lt;&gt;"",MainTbl[[#This Row],[salt_2_conc]]&gt;0),TEXT(MainTbl[[#This Row],[salt_2_conc]],"0.###")&amp;" M "&amp;MainTbl[[#This Row],[SaltName2]],"")</f>
        <v/>
      </c>
      <c r="BE4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44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25.%</v>
      </c>
      <c r="BG44" t="str">
        <f>IF(MainTbl[[#This Row],[SolvCount]]=1,MainTbl[[#This Row],[SolvName2]],IF(MainTbl[[#This Row],[solv_2_ratio]]&gt;0,MainTbl[[#This Row],[SolvName2]]&amp;" "&amp;TEXT(MainTbl[[#This Row],[solv_2_ratio]]*100,"0.##")&amp;"%",""))</f>
        <v>EMC (C4H8O3) 75.%</v>
      </c>
      <c r="BH4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25.% + EMC (C4H8O3) 75.%</v>
      </c>
      <c r="BJ44" t="str">
        <f>TRIM(_xlfn.CONCAT(MainTbl[[#This Row],[Salt_text]]," ",MainTbl[[#This Row],[Solvent_text]]))</f>
        <v>1. M LiPF6 Ethylene carbonate 25.% + EMC (C4H8O3) 75.%</v>
      </c>
    </row>
    <row r="45" spans="1:62" x14ac:dyDescent="0.25">
      <c r="A45" t="s">
        <v>24</v>
      </c>
      <c r="B45" t="s">
        <v>28</v>
      </c>
      <c r="D45" t="s">
        <v>29</v>
      </c>
      <c r="G45">
        <v>0.41666666699999999</v>
      </c>
      <c r="H45">
        <v>0.58333333300000001</v>
      </c>
      <c r="I45">
        <v>0</v>
      </c>
      <c r="J45">
        <v>1</v>
      </c>
      <c r="K45">
        <v>0</v>
      </c>
      <c r="L45">
        <v>0.97599999999999998</v>
      </c>
      <c r="M45">
        <f t="shared" si="0"/>
        <v>97.6</v>
      </c>
      <c r="N45">
        <f t="shared" si="1"/>
        <v>1.6197887582883936</v>
      </c>
      <c r="O45">
        <f>IFERROR(MainTbl[[#This Row],[solv_1_ratio]]*VLOOKUP(MainTbl[[#This Row],[solvent_1_smiles]],SolvTbl[],13,FALSE),0)</f>
        <v>5.7124986687725121</v>
      </c>
      <c r="P45">
        <f>IFERROR(MainTbl[[#This Row],[solv_2_ratio]]*VLOOKUP(MainTbl[[#This Row],[solvent_2_smiles]],SolvTbl[],13,FALSE),0)</f>
        <v>4.8146110190044871</v>
      </c>
      <c r="Q45">
        <f>IFERROR(MainTbl[[#This Row],[solv_3_ratio]]*VLOOKUP(MainTbl[[#This Row],[solvent_3_smiles]],SolvTbl[],13,FALSE),0)</f>
        <v>0</v>
      </c>
      <c r="R45">
        <f>IFERROR(MainTbl[[#This Row],[salt_1_conc]],0)</f>
        <v>1</v>
      </c>
      <c r="S45">
        <f>IFERROR(MainTbl[[#This Row],[salt_2_conc]],0)</f>
        <v>0</v>
      </c>
      <c r="T4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31.581329063330998</v>
      </c>
      <c r="U4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5">
        <f>MainTbl[[#This Row],[O_from_solvents]]+MainTbl[[#This Row],[O_from_salts]]</f>
        <v>31.581329063330998</v>
      </c>
      <c r="W4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41.210551101339973</v>
      </c>
      <c r="X4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5">
        <f>MainTbl[[#This Row],[C_from_solvents]]+MainTbl[[#This Row],[C_from_salts]]</f>
        <v>41.210551101339973</v>
      </c>
      <c r="Z4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5.7124986687725121</v>
      </c>
      <c r="AA4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45">
        <f>MainTbl[[#This Row],[F_from_solvents]]+MainTbl[[#This Row],[F_from_salts]]</f>
        <v>11.712498668772511</v>
      </c>
      <c r="AC4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65.283606196362413</v>
      </c>
      <c r="AD4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5">
        <f>MainTbl[[#This Row],[H_from_solvents]]+MainTbl[[#This Row],[H_from_salts]]</f>
        <v>65.283606196362413</v>
      </c>
      <c r="AF4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45">
        <f>MainTbl[[#This Row],[Li_from_solvents]]+MainTbl[[#This Row],[Li_from_salts]]</f>
        <v>1</v>
      </c>
      <c r="AI4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151.7879850298059</v>
      </c>
      <c r="AJ45" s="2">
        <f>IFERROR(MainTbl[[#This Row],[O_total]]/MainTbl[[#This Row],[TotalAtoms_all]],0)</f>
        <v>0.20806211412009665</v>
      </c>
      <c r="AK45" s="2">
        <f>IFERROR(MainTbl[[#This Row],[O_from_solvents]]/MainTbl[[#This Row],[TotalAtoms_all]],0)</f>
        <v>0.20806211412009665</v>
      </c>
      <c r="AL45" s="2">
        <f>IFERROR(MainTbl[[#This Row],[O_from_salts]]/MainTbl[[#This Row],[TotalAtoms_all]],0)</f>
        <v>0</v>
      </c>
      <c r="AM45" s="2">
        <f>IFERROR(MainTbl[[#This Row],[C_total]]/MainTbl[[#This Row],[TotalAtoms_all]],0)</f>
        <v>0.27150074555141929</v>
      </c>
      <c r="AN45" s="2">
        <f>IFERROR(MainTbl[[#This Row],[C_from_solvents]]/MainTbl[[#This Row],[TotalAtoms_all]],0)</f>
        <v>0.27150074555141929</v>
      </c>
      <c r="AO45" s="2">
        <f>IFERROR(MainTbl[[#This Row],[C_from_salts]]/MainTbl[[#This Row],[TotalAtoms_all]],0)</f>
        <v>0</v>
      </c>
      <c r="AP45" s="2">
        <f>IFERROR(MainTbl[[#This Row],[F_total]]/MainTbl[[#This Row],[TotalAtoms_all]],0)</f>
        <v>7.7163542730161308E-2</v>
      </c>
      <c r="AQ45" s="2">
        <f>IFERROR(MainTbl[[#This Row],[F_from_solvents]]/MainTbl[[#This Row],[TotalAtoms_all]],0)</f>
        <v>3.7634722324370901E-2</v>
      </c>
      <c r="AR45" s="2">
        <f>IFERROR(MainTbl[[#This Row],[F_from_salts]]/MainTbl[[#This Row],[TotalAtoms_all]],0)</f>
        <v>3.9528820405790407E-2</v>
      </c>
      <c r="AS45" s="2">
        <f>IFERROR(MainTbl[[#This Row],[F_total]]/MainTbl[[#This Row],[O_total]],0)</f>
        <v>0.37086782020114106</v>
      </c>
      <c r="AT45" s="2">
        <f>IFERROR(MainTbl[[#This Row],[F_total]]/MainTbl[[#This Row],[C_total]],0)</f>
        <v>0.284211163300645</v>
      </c>
      <c r="AU45" s="2">
        <f>IFERROR(MainTbl[[#This Row],[O_total]]/MainTbl[[#This Row],[C_total]],0)</f>
        <v>0.76634085736126256</v>
      </c>
      <c r="AV45" s="2">
        <f>IFERROR((MainTbl[[#This Row],[TotalAtoms_all]]-(MainTbl[[#This Row],[C_total]]+MainTbl[[#This Row],[H_total]]+MainTbl[[#This Row],[Li_total]]))/MainTbl[[#This Row],[C_total]],0)</f>
        <v>1.0748176510229508</v>
      </c>
      <c r="AW45" t="str">
        <f>IFERROR(VLOOKUP(MainTbl[[#This Row],[salt_1_smiles]],SaltTbl[],MATCH("Salt",SaltTbl[#Headers],0),FALSE),"")</f>
        <v>LiPF6</v>
      </c>
      <c r="AX45" t="str">
        <f>IFERROR(VLOOKUP(MainTbl[[#This Row],[salt_2_smiles]],SaltTbl[],MATCH("Salt",SaltTbl[#Headers],0),FALSE),"")</f>
        <v/>
      </c>
      <c r="AY45" t="str">
        <f>IFERROR(VLOOKUP(MainTbl[[#This Row],[solvent_1_smiles]],SolvTbl[],MATCH("Solvent",SolvTbl[#Headers],0),FALSE),"")</f>
        <v>Fluoroethylene carbonate</v>
      </c>
      <c r="AZ45" t="str">
        <f>IFERROR(VLOOKUP(MainTbl[[#This Row],[solvent_2_smiles]],SolvTbl[],MATCH("Solvent",SolvTbl[#Headers],0),FALSE),"")</f>
        <v>Diethyl Carbonate</v>
      </c>
      <c r="BA45" t="str">
        <f>IFERROR(VLOOKUP(MainTbl[[#This Row],[solvent_3_smiles]],SolvTbl[],MATCH("Solvent",SolvTbl[#Headers],0),FALSE),"")</f>
        <v/>
      </c>
      <c r="BB45">
        <f>--(MainTbl[[#This Row],[solv_1_ratio]]&gt;0)+--(MainTbl[[#This Row],[solv_2_ratio]]&gt;0)+--(MainTbl[[#This Row],[solv_3_ratio]]&gt;0)</f>
        <v>2</v>
      </c>
      <c r="BC45" t="str">
        <f>IF(AND(MainTbl[[#This Row],[SaltName1]]&lt;&gt;"",MainTbl[[#This Row],[salt_1_conc]]&gt;0),TEXT(MainTbl[[#This Row],[salt_1_conc]],"0.###")&amp;" M "&amp;MainTbl[[#This Row],[SaltName1]],"")</f>
        <v>1. M LiPF6</v>
      </c>
      <c r="BD45" t="str">
        <f>IF(AND(MainTbl[[#This Row],[SaltName2]]&lt;&gt;"",MainTbl[[#This Row],[salt_2_conc]]&gt;0),TEXT(MainTbl[[#This Row],[salt_2_conc]],"0.###")&amp;" M "&amp;MainTbl[[#This Row],[SaltName2]],"")</f>
        <v/>
      </c>
      <c r="BE4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45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41.67%</v>
      </c>
      <c r="BG45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58.33%</v>
      </c>
      <c r="BH4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41.67% + Diethyl Carbonate 58.33%</v>
      </c>
      <c r="BJ45" t="str">
        <f>TRIM(_xlfn.CONCAT(MainTbl[[#This Row],[Salt_text]]," ",MainTbl[[#This Row],[Solvent_text]]))</f>
        <v>1. M LiPF6 Fluoroethylene carbonate 41.67% + Diethyl Carbonate 58.33%</v>
      </c>
    </row>
    <row r="46" spans="1:62" x14ac:dyDescent="0.25">
      <c r="A46" t="s">
        <v>19</v>
      </c>
      <c r="B46" t="s">
        <v>28</v>
      </c>
      <c r="D46" t="s">
        <v>29</v>
      </c>
      <c r="F46" t="s">
        <v>24</v>
      </c>
      <c r="G46">
        <v>0.5</v>
      </c>
      <c r="H46">
        <v>0.5</v>
      </c>
      <c r="I46">
        <v>0</v>
      </c>
      <c r="J46">
        <v>1</v>
      </c>
      <c r="K46">
        <v>0</v>
      </c>
      <c r="L46">
        <v>0.98</v>
      </c>
      <c r="M46">
        <f t="shared" si="0"/>
        <v>98</v>
      </c>
      <c r="N46">
        <f t="shared" si="1"/>
        <v>1.6989700043360185</v>
      </c>
      <c r="O46">
        <f>IFERROR(MainTbl[[#This Row],[solv_1_ratio]]*VLOOKUP(MainTbl[[#This Row],[solvent_1_smiles]],SolvTbl[],13,FALSE),0)</f>
        <v>7.4947196293520486</v>
      </c>
      <c r="P46">
        <f>IFERROR(MainTbl[[#This Row],[solv_2_ratio]]*VLOOKUP(MainTbl[[#This Row],[solvent_2_smiles]],SolvTbl[],13,FALSE),0)</f>
        <v>4.1268094472191654</v>
      </c>
      <c r="Q46">
        <f>IFERROR(MainTbl[[#This Row],[solv_3_ratio]]*VLOOKUP(MainTbl[[#This Row],[solvent_3_smiles]],SolvTbl[],13,FALSE),0)</f>
        <v>0</v>
      </c>
      <c r="R46">
        <f>IFERROR(MainTbl[[#This Row],[salt_1_conc]],0)</f>
        <v>1</v>
      </c>
      <c r="S46">
        <f>IFERROR(MainTbl[[#This Row],[salt_2_conc]],0)</f>
        <v>0</v>
      </c>
      <c r="T4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34.864587229713642</v>
      </c>
      <c r="U4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6">
        <f>MainTbl[[#This Row],[O_from_solvents]]+MainTbl[[#This Row],[O_from_salts]]</f>
        <v>34.864587229713642</v>
      </c>
      <c r="W4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43.118206124151975</v>
      </c>
      <c r="X4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6">
        <f>MainTbl[[#This Row],[C_from_solvents]]+MainTbl[[#This Row],[C_from_salts]]</f>
        <v>43.118206124151975</v>
      </c>
      <c r="Z4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4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46">
        <f>MainTbl[[#This Row],[F_from_solvents]]+MainTbl[[#This Row],[F_from_salts]]</f>
        <v>6</v>
      </c>
      <c r="AC4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71.246972989599854</v>
      </c>
      <c r="AD4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6">
        <f>MainTbl[[#This Row],[H_from_solvents]]+MainTbl[[#This Row],[H_from_salts]]</f>
        <v>71.246972989599854</v>
      </c>
      <c r="AF4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46">
        <f>MainTbl[[#This Row],[Li_from_solvents]]+MainTbl[[#This Row],[Li_from_salts]]</f>
        <v>1</v>
      </c>
      <c r="AI4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157.22976634346549</v>
      </c>
      <c r="AJ46" s="2">
        <f>IFERROR(MainTbl[[#This Row],[O_total]]/MainTbl[[#This Row],[TotalAtoms_all]],0)</f>
        <v>0.22174291828146969</v>
      </c>
      <c r="AK46" s="2">
        <f>IFERROR(MainTbl[[#This Row],[O_from_solvents]]/MainTbl[[#This Row],[TotalAtoms_all]],0)</f>
        <v>0.22174291828146969</v>
      </c>
      <c r="AL46" s="2">
        <f>IFERROR(MainTbl[[#This Row],[O_from_salts]]/MainTbl[[#This Row],[TotalAtoms_all]],0)</f>
        <v>0</v>
      </c>
      <c r="AM46" s="2">
        <f>IFERROR(MainTbl[[#This Row],[C_total]]/MainTbl[[#This Row],[TotalAtoms_all]],0)</f>
        <v>0.27423691535584338</v>
      </c>
      <c r="AN46" s="2">
        <f>IFERROR(MainTbl[[#This Row],[C_from_solvents]]/MainTbl[[#This Row],[TotalAtoms_all]],0)</f>
        <v>0.27423691535584338</v>
      </c>
      <c r="AO46" s="2">
        <f>IFERROR(MainTbl[[#This Row],[C_from_salts]]/MainTbl[[#This Row],[TotalAtoms_all]],0)</f>
        <v>0</v>
      </c>
      <c r="AP46" s="2">
        <f>IFERROR(MainTbl[[#This Row],[F_total]]/MainTbl[[#This Row],[TotalAtoms_all]],0)</f>
        <v>3.8160713073204677E-2</v>
      </c>
      <c r="AQ46" s="2">
        <f>IFERROR(MainTbl[[#This Row],[F_from_solvents]]/MainTbl[[#This Row],[TotalAtoms_all]],0)</f>
        <v>0</v>
      </c>
      <c r="AR46" s="2">
        <f>IFERROR(MainTbl[[#This Row],[F_from_salts]]/MainTbl[[#This Row],[TotalAtoms_all]],0)</f>
        <v>3.8160713073204677E-2</v>
      </c>
      <c r="AS46" s="2">
        <f>IFERROR(MainTbl[[#This Row],[F_total]]/MainTbl[[#This Row],[O_total]],0)</f>
        <v>0.17209439367423368</v>
      </c>
      <c r="AT46" s="2">
        <f>IFERROR(MainTbl[[#This Row],[F_total]]/MainTbl[[#This Row],[C_total]],0)</f>
        <v>0.13915235672662171</v>
      </c>
      <c r="AU46" s="2">
        <f>IFERROR(MainTbl[[#This Row],[O_total]]/MainTbl[[#This Row],[C_total]],0)</f>
        <v>0.80858157988592205</v>
      </c>
      <c r="AV46" s="2">
        <f>IFERROR((MainTbl[[#This Row],[TotalAtoms_all]]-(MainTbl[[#This Row],[C_total]]+MainTbl[[#This Row],[H_total]]+MainTbl[[#This Row],[Li_total]]))/MainTbl[[#This Row],[C_total]],0)</f>
        <v>0.97092599606698116</v>
      </c>
      <c r="AW46" t="str">
        <f>IFERROR(VLOOKUP(MainTbl[[#This Row],[salt_1_smiles]],SaltTbl[],MATCH("Salt",SaltTbl[#Headers],0),FALSE),"")</f>
        <v>LiPF6</v>
      </c>
      <c r="AX46" t="str">
        <f>IFERROR(VLOOKUP(MainTbl[[#This Row],[salt_2_smiles]],SaltTbl[],MATCH("Salt",SaltTbl[#Headers],0),FALSE),"")</f>
        <v/>
      </c>
      <c r="AY46" t="str">
        <f>IFERROR(VLOOKUP(MainTbl[[#This Row],[solvent_1_smiles]],SolvTbl[],MATCH("Solvent",SolvTbl[#Headers],0),FALSE),"")</f>
        <v>Ethylene carbonate</v>
      </c>
      <c r="AZ46" t="str">
        <f>IFERROR(VLOOKUP(MainTbl[[#This Row],[solvent_2_smiles]],SolvTbl[],MATCH("Solvent",SolvTbl[#Headers],0),FALSE),"")</f>
        <v>Diethyl Carbonate</v>
      </c>
      <c r="BA46" t="str">
        <f>IFERROR(VLOOKUP(MainTbl[[#This Row],[solvent_3_smiles]],SolvTbl[],MATCH("Solvent",SolvTbl[#Headers],0),FALSE),"")</f>
        <v/>
      </c>
      <c r="BB46">
        <f>--(MainTbl[[#This Row],[solv_1_ratio]]&gt;0)+--(MainTbl[[#This Row],[solv_2_ratio]]&gt;0)+--(MainTbl[[#This Row],[solv_3_ratio]]&gt;0)</f>
        <v>2</v>
      </c>
      <c r="BC46" t="str">
        <f>IF(AND(MainTbl[[#This Row],[SaltName1]]&lt;&gt;"",MainTbl[[#This Row],[salt_1_conc]]&gt;0),TEXT(MainTbl[[#This Row],[salt_1_conc]],"0.###")&amp;" M "&amp;MainTbl[[#This Row],[SaltName1]],"")</f>
        <v>1. M LiPF6</v>
      </c>
      <c r="BD46" t="str">
        <f>IF(AND(MainTbl[[#This Row],[SaltName2]]&lt;&gt;"",MainTbl[[#This Row],[salt_2_conc]]&gt;0),TEXT(MainTbl[[#This Row],[salt_2_conc]],"0.###")&amp;" M "&amp;MainTbl[[#This Row],[SaltName2]],"")</f>
        <v/>
      </c>
      <c r="BE4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46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46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50.%</v>
      </c>
      <c r="BH4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Diethyl Carbonate 50.%</v>
      </c>
      <c r="BJ46" t="str">
        <f>TRIM(_xlfn.CONCAT(MainTbl[[#This Row],[Salt_text]]," ",MainTbl[[#This Row],[Solvent_text]]))</f>
        <v>1. M LiPF6 Ethylene carbonate 50.% + Diethyl Carbonate 50.%</v>
      </c>
    </row>
    <row r="47" spans="1:62" x14ac:dyDescent="0.25">
      <c r="A47" t="s">
        <v>24</v>
      </c>
      <c r="D47" t="s">
        <v>29</v>
      </c>
      <c r="G47">
        <v>1</v>
      </c>
      <c r="H47">
        <v>0</v>
      </c>
      <c r="I47">
        <v>0</v>
      </c>
      <c r="J47">
        <v>1.2</v>
      </c>
      <c r="K47">
        <v>0</v>
      </c>
      <c r="L47">
        <v>0.98</v>
      </c>
      <c r="M47">
        <f t="shared" si="0"/>
        <v>98</v>
      </c>
      <c r="N47">
        <f t="shared" si="1"/>
        <v>1.6989700043360185</v>
      </c>
      <c r="O47">
        <f>IFERROR(MainTbl[[#This Row],[solv_1_ratio]]*VLOOKUP(MainTbl[[#This Row],[solvent_1_smiles]],SolvTbl[],13,FALSE),0)</f>
        <v>13.709996794086031</v>
      </c>
      <c r="P47">
        <f>IFERROR(MainTbl[[#This Row],[solv_2_ratio]]*VLOOKUP(MainTbl[[#This Row],[solvent_2_smiles]],SolvTbl[],13,FALSE),0)</f>
        <v>0</v>
      </c>
      <c r="Q47">
        <f>IFERROR(MainTbl[[#This Row],[solv_3_ratio]]*VLOOKUP(MainTbl[[#This Row],[solvent_3_smiles]],SolvTbl[],13,FALSE),0)</f>
        <v>0</v>
      </c>
      <c r="R47">
        <f>IFERROR(MainTbl[[#This Row],[salt_1_conc]],0)</f>
        <v>1.2</v>
      </c>
      <c r="S47">
        <f>IFERROR(MainTbl[[#This Row],[salt_2_conc]],0)</f>
        <v>0</v>
      </c>
      <c r="T4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41.129990382258093</v>
      </c>
      <c r="U4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7">
        <f>MainTbl[[#This Row],[O_from_solvents]]+MainTbl[[#This Row],[O_from_salts]]</f>
        <v>41.129990382258093</v>
      </c>
      <c r="W4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41.129990382258093</v>
      </c>
      <c r="X4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7">
        <f>MainTbl[[#This Row],[C_from_solvents]]+MainTbl[[#This Row],[C_from_salts]]</f>
        <v>41.129990382258093</v>
      </c>
      <c r="Z4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13.709996794086031</v>
      </c>
      <c r="AA4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7.1999999999999993</v>
      </c>
      <c r="AB47">
        <f>MainTbl[[#This Row],[F_from_solvents]]+MainTbl[[#This Row],[F_from_salts]]</f>
        <v>20.90999679408603</v>
      </c>
      <c r="AC4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41.129990382258093</v>
      </c>
      <c r="AD4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7">
        <f>MainTbl[[#This Row],[H_from_solvents]]+MainTbl[[#This Row],[H_from_salts]]</f>
        <v>41.129990382258093</v>
      </c>
      <c r="AF4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47">
        <f>MainTbl[[#This Row],[Li_from_solvents]]+MainTbl[[#This Row],[Li_from_salts]]</f>
        <v>1.2</v>
      </c>
      <c r="AI4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146.69996794086032</v>
      </c>
      <c r="AJ47" s="2">
        <f>IFERROR(MainTbl[[#This Row],[O_total]]/MainTbl[[#This Row],[TotalAtoms_all]],0)</f>
        <v>0.28036809386924322</v>
      </c>
      <c r="AK47" s="2">
        <f>IFERROR(MainTbl[[#This Row],[O_from_solvents]]/MainTbl[[#This Row],[TotalAtoms_all]],0)</f>
        <v>0.28036809386924322</v>
      </c>
      <c r="AL47" s="2">
        <f>IFERROR(MainTbl[[#This Row],[O_from_salts]]/MainTbl[[#This Row],[TotalAtoms_all]],0)</f>
        <v>0</v>
      </c>
      <c r="AM47" s="2">
        <f>IFERROR(MainTbl[[#This Row],[C_total]]/MainTbl[[#This Row],[TotalAtoms_all]],0)</f>
        <v>0.28036809386924322</v>
      </c>
      <c r="AN47" s="2">
        <f>IFERROR(MainTbl[[#This Row],[C_from_solvents]]/MainTbl[[#This Row],[TotalAtoms_all]],0)</f>
        <v>0.28036809386924322</v>
      </c>
      <c r="AO47" s="2">
        <f>IFERROR(MainTbl[[#This Row],[C_from_salts]]/MainTbl[[#This Row],[TotalAtoms_all]],0)</f>
        <v>0</v>
      </c>
      <c r="AP47" s="2">
        <f>IFERROR(MainTbl[[#This Row],[F_total]]/MainTbl[[#This Row],[TotalAtoms_all]],0)</f>
        <v>0.1425357966166397</v>
      </c>
      <c r="AQ47" s="2">
        <f>IFERROR(MainTbl[[#This Row],[F_from_solvents]]/MainTbl[[#This Row],[TotalAtoms_all]],0)</f>
        <v>9.3456031289747735E-2</v>
      </c>
      <c r="AR47" s="2">
        <f>IFERROR(MainTbl[[#This Row],[F_from_salts]]/MainTbl[[#This Row],[TotalAtoms_all]],0)</f>
        <v>4.9079765326891969E-2</v>
      </c>
      <c r="AS47" s="2">
        <f>IFERROR(MainTbl[[#This Row],[F_total]]/MainTbl[[#This Row],[O_total]],0)</f>
        <v>0.50838807886290693</v>
      </c>
      <c r="AT47" s="2">
        <f>IFERROR(MainTbl[[#This Row],[F_total]]/MainTbl[[#This Row],[C_total]],0)</f>
        <v>0.50838807886290693</v>
      </c>
      <c r="AU47" s="2">
        <f>IFERROR(MainTbl[[#This Row],[O_total]]/MainTbl[[#This Row],[C_total]],0)</f>
        <v>1</v>
      </c>
      <c r="AV47" s="2">
        <f>IFERROR((MainTbl[[#This Row],[TotalAtoms_all]]-(MainTbl[[#This Row],[C_total]]+MainTbl[[#This Row],[H_total]]+MainTbl[[#This Row],[Li_total]]))/MainTbl[[#This Row],[C_total]],0)</f>
        <v>1.5375638697845027</v>
      </c>
      <c r="AW47" t="str">
        <f>IFERROR(VLOOKUP(MainTbl[[#This Row],[salt_1_smiles]],SaltTbl[],MATCH("Salt",SaltTbl[#Headers],0),FALSE),"")</f>
        <v>LiPF6</v>
      </c>
      <c r="AX47" t="str">
        <f>IFERROR(VLOOKUP(MainTbl[[#This Row],[salt_2_smiles]],SaltTbl[],MATCH("Salt",SaltTbl[#Headers],0),FALSE),"")</f>
        <v/>
      </c>
      <c r="AY47" t="str">
        <f>IFERROR(VLOOKUP(MainTbl[[#This Row],[solvent_1_smiles]],SolvTbl[],MATCH("Solvent",SolvTbl[#Headers],0),FALSE),"")</f>
        <v>Fluoroethylene carbonate</v>
      </c>
      <c r="AZ47" t="str">
        <f>IFERROR(VLOOKUP(MainTbl[[#This Row],[solvent_2_smiles]],SolvTbl[],MATCH("Solvent",SolvTbl[#Headers],0),FALSE),"")</f>
        <v/>
      </c>
      <c r="BA47" t="str">
        <f>IFERROR(VLOOKUP(MainTbl[[#This Row],[solvent_3_smiles]],SolvTbl[],MATCH("Solvent",SolvTbl[#Headers],0),FALSE),"")</f>
        <v/>
      </c>
      <c r="BB47">
        <f>--(MainTbl[[#This Row],[solv_1_ratio]]&gt;0)+--(MainTbl[[#This Row],[solv_2_ratio]]&gt;0)+--(MainTbl[[#This Row],[solv_3_ratio]]&gt;0)</f>
        <v>1</v>
      </c>
      <c r="BC47" t="str">
        <f>IF(AND(MainTbl[[#This Row],[SaltName1]]&lt;&gt;"",MainTbl[[#This Row],[salt_1_conc]]&gt;0),TEXT(MainTbl[[#This Row],[salt_1_conc]],"0.###")&amp;" M "&amp;MainTbl[[#This Row],[SaltName1]],"")</f>
        <v>1.2 M LiPF6</v>
      </c>
      <c r="BD47" t="str">
        <f>IF(AND(MainTbl[[#This Row],[SaltName2]]&lt;&gt;"",MainTbl[[#This Row],[salt_2_conc]]&gt;0),TEXT(MainTbl[[#This Row],[salt_2_conc]],"0.###")&amp;" M "&amp;MainTbl[[#This Row],[SaltName2]],"")</f>
        <v/>
      </c>
      <c r="BE4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LiPF6</v>
      </c>
      <c r="BF47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</v>
      </c>
      <c r="BG47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4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</v>
      </c>
      <c r="BJ47" t="str">
        <f>TRIM(_xlfn.CONCAT(MainTbl[[#This Row],[Salt_text]]," ",MainTbl[[#This Row],[Solvent_text]]))</f>
        <v>1.2 M LiPF6 Fluoroethylene carbonate</v>
      </c>
    </row>
    <row r="48" spans="1:62" x14ac:dyDescent="0.25">
      <c r="A48" t="s">
        <v>19</v>
      </c>
      <c r="B48" t="s">
        <v>38</v>
      </c>
      <c r="D48" t="s">
        <v>29</v>
      </c>
      <c r="F48" t="s">
        <v>24</v>
      </c>
      <c r="G48">
        <v>0.25</v>
      </c>
      <c r="H48">
        <v>0.75</v>
      </c>
      <c r="I48">
        <v>0</v>
      </c>
      <c r="J48">
        <v>1</v>
      </c>
      <c r="K48">
        <v>0</v>
      </c>
      <c r="L48">
        <v>0.98099999999999998</v>
      </c>
      <c r="M48">
        <f t="shared" si="0"/>
        <v>98.1</v>
      </c>
      <c r="N48">
        <f t="shared" si="1"/>
        <v>1.7212463990471707</v>
      </c>
      <c r="O48">
        <f>IFERROR(MainTbl[[#This Row],[solv_1_ratio]]*VLOOKUP(MainTbl[[#This Row],[solvent_1_smiles]],SolvTbl[],13,FALSE),0)</f>
        <v>3.7473598146760243</v>
      </c>
      <c r="P48">
        <f>IFERROR(MainTbl[[#This Row],[solv_2_ratio]]*VLOOKUP(MainTbl[[#This Row],[solvent_2_smiles]],SolvTbl[],13,FALSE),0)</f>
        <v>7.2475601321755168</v>
      </c>
      <c r="Q48">
        <f>IFERROR(MainTbl[[#This Row],[solv_3_ratio]]*VLOOKUP(MainTbl[[#This Row],[solvent_3_smiles]],SolvTbl[],13,FALSE),0)</f>
        <v>0</v>
      </c>
      <c r="R48">
        <f>IFERROR(MainTbl[[#This Row],[salt_1_conc]],0)</f>
        <v>1</v>
      </c>
      <c r="S48">
        <f>IFERROR(MainTbl[[#This Row],[salt_2_conc]],0)</f>
        <v>0</v>
      </c>
      <c r="T4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32.984759840554624</v>
      </c>
      <c r="U4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8">
        <f>MainTbl[[#This Row],[O_from_solvents]]+MainTbl[[#This Row],[O_from_salts]]</f>
        <v>32.984759840554624</v>
      </c>
      <c r="W4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40.232319972730139</v>
      </c>
      <c r="X4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8">
        <f>MainTbl[[#This Row],[C_from_solvents]]+MainTbl[[#This Row],[C_from_salts]]</f>
        <v>40.232319972730139</v>
      </c>
      <c r="Z4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4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48">
        <f>MainTbl[[#This Row],[F_from_solvents]]+MainTbl[[#This Row],[F_from_salts]]</f>
        <v>6</v>
      </c>
      <c r="AC4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72.969920316108229</v>
      </c>
      <c r="AD4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8">
        <f>MainTbl[[#This Row],[H_from_solvents]]+MainTbl[[#This Row],[H_from_salts]]</f>
        <v>72.969920316108229</v>
      </c>
      <c r="AF4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48">
        <f>MainTbl[[#This Row],[Li_from_solvents]]+MainTbl[[#This Row],[Li_from_salts]]</f>
        <v>1</v>
      </c>
      <c r="AI4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154.187000129393</v>
      </c>
      <c r="AJ48" s="2">
        <f>IFERROR(MainTbl[[#This Row],[O_total]]/MainTbl[[#This Row],[TotalAtoms_all]],0)</f>
        <v>0.21392698355162218</v>
      </c>
      <c r="AK48" s="2">
        <f>IFERROR(MainTbl[[#This Row],[O_from_solvents]]/MainTbl[[#This Row],[TotalAtoms_all]],0)</f>
        <v>0.21392698355162218</v>
      </c>
      <c r="AL48" s="2">
        <f>IFERROR(MainTbl[[#This Row],[O_from_salts]]/MainTbl[[#This Row],[TotalAtoms_all]],0)</f>
        <v>0</v>
      </c>
      <c r="AM48" s="2">
        <f>IFERROR(MainTbl[[#This Row],[C_total]]/MainTbl[[#This Row],[TotalAtoms_all]],0)</f>
        <v>0.26093198479098345</v>
      </c>
      <c r="AN48" s="2">
        <f>IFERROR(MainTbl[[#This Row],[C_from_solvents]]/MainTbl[[#This Row],[TotalAtoms_all]],0)</f>
        <v>0.26093198479098345</v>
      </c>
      <c r="AO48" s="2">
        <f>IFERROR(MainTbl[[#This Row],[C_from_salts]]/MainTbl[[#This Row],[TotalAtoms_all]],0)</f>
        <v>0</v>
      </c>
      <c r="AP48" s="2">
        <f>IFERROR(MainTbl[[#This Row],[F_total]]/MainTbl[[#This Row],[TotalAtoms_all]],0)</f>
        <v>3.89137864733397E-2</v>
      </c>
      <c r="AQ48" s="2">
        <f>IFERROR(MainTbl[[#This Row],[F_from_solvents]]/MainTbl[[#This Row],[TotalAtoms_all]],0)</f>
        <v>0</v>
      </c>
      <c r="AR48" s="2">
        <f>IFERROR(MainTbl[[#This Row],[F_from_salts]]/MainTbl[[#This Row],[TotalAtoms_all]],0)</f>
        <v>3.89137864733397E-2</v>
      </c>
      <c r="AS48" s="2">
        <f>IFERROR(MainTbl[[#This Row],[F_total]]/MainTbl[[#This Row],[O_total]],0)</f>
        <v>0.18190218843500644</v>
      </c>
      <c r="AT48" s="2">
        <f>IFERROR(MainTbl[[#This Row],[F_total]]/MainTbl[[#This Row],[C_total]],0)</f>
        <v>0.14913383081231354</v>
      </c>
      <c r="AU48" s="2">
        <f>IFERROR(MainTbl[[#This Row],[O_total]]/MainTbl[[#This Row],[C_total]],0)</f>
        <v>0.81985726557434468</v>
      </c>
      <c r="AV48" s="2">
        <f>IFERROR((MainTbl[[#This Row],[TotalAtoms_all]]-(MainTbl[[#This Row],[C_total]]+MainTbl[[#This Row],[H_total]]+MainTbl[[#This Row],[Li_total]]))/MainTbl[[#This Row],[C_total]],0)</f>
        <v>0.99384673485537733</v>
      </c>
      <c r="AW48" t="str">
        <f>IFERROR(VLOOKUP(MainTbl[[#This Row],[salt_1_smiles]],SaltTbl[],MATCH("Salt",SaltTbl[#Headers],0),FALSE),"")</f>
        <v>LiPF6</v>
      </c>
      <c r="AX48" t="str">
        <f>IFERROR(VLOOKUP(MainTbl[[#This Row],[salt_2_smiles]],SaltTbl[],MATCH("Salt",SaltTbl[#Headers],0),FALSE),"")</f>
        <v/>
      </c>
      <c r="AY48" t="str">
        <f>IFERROR(VLOOKUP(MainTbl[[#This Row],[solvent_1_smiles]],SolvTbl[],MATCH("Solvent",SolvTbl[#Headers],0),FALSE),"")</f>
        <v>Ethylene carbonate</v>
      </c>
      <c r="AZ48" t="str">
        <f>IFERROR(VLOOKUP(MainTbl[[#This Row],[solvent_2_smiles]],SolvTbl[],MATCH("Solvent",SolvTbl[#Headers],0),FALSE),"")</f>
        <v>EMC (C4H8O3)</v>
      </c>
      <c r="BA48" t="str">
        <f>IFERROR(VLOOKUP(MainTbl[[#This Row],[solvent_3_smiles]],SolvTbl[],MATCH("Solvent",SolvTbl[#Headers],0),FALSE),"")</f>
        <v/>
      </c>
      <c r="BB48">
        <f>--(MainTbl[[#This Row],[solv_1_ratio]]&gt;0)+--(MainTbl[[#This Row],[solv_2_ratio]]&gt;0)+--(MainTbl[[#This Row],[solv_3_ratio]]&gt;0)</f>
        <v>2</v>
      </c>
      <c r="BC48" t="str">
        <f>IF(AND(MainTbl[[#This Row],[SaltName1]]&lt;&gt;"",MainTbl[[#This Row],[salt_1_conc]]&gt;0),TEXT(MainTbl[[#This Row],[salt_1_conc]],"0.###")&amp;" M "&amp;MainTbl[[#This Row],[SaltName1]],"")</f>
        <v>1. M LiPF6</v>
      </c>
      <c r="BD48" t="str">
        <f>IF(AND(MainTbl[[#This Row],[SaltName2]]&lt;&gt;"",MainTbl[[#This Row],[salt_2_conc]]&gt;0),TEXT(MainTbl[[#This Row],[salt_2_conc]],"0.###")&amp;" M "&amp;MainTbl[[#This Row],[SaltName2]],"")</f>
        <v/>
      </c>
      <c r="BE4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48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25.%</v>
      </c>
      <c r="BG48" t="str">
        <f>IF(MainTbl[[#This Row],[SolvCount]]=1,MainTbl[[#This Row],[SolvName2]],IF(MainTbl[[#This Row],[solv_2_ratio]]&gt;0,MainTbl[[#This Row],[SolvName2]]&amp;" "&amp;TEXT(MainTbl[[#This Row],[solv_2_ratio]]*100,"0.##")&amp;"%",""))</f>
        <v>EMC (C4H8O3) 75.%</v>
      </c>
      <c r="BH4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25.% + EMC (C4H8O3) 75.%</v>
      </c>
      <c r="BJ48" t="str">
        <f>TRIM(_xlfn.CONCAT(MainTbl[[#This Row],[Salt_text]]," ",MainTbl[[#This Row],[Solvent_text]]))</f>
        <v>1. M LiPF6 Ethylene carbonate 25.% + EMC (C4H8O3) 75.%</v>
      </c>
    </row>
    <row r="49" spans="1:62" x14ac:dyDescent="0.25">
      <c r="A49" t="s">
        <v>19</v>
      </c>
      <c r="B49" t="s">
        <v>28</v>
      </c>
      <c r="D49" t="s">
        <v>29</v>
      </c>
      <c r="F49" t="s">
        <v>33</v>
      </c>
      <c r="G49">
        <v>0.5</v>
      </c>
      <c r="H49">
        <v>0.5</v>
      </c>
      <c r="I49">
        <v>0</v>
      </c>
      <c r="J49">
        <v>1</v>
      </c>
      <c r="K49">
        <v>0</v>
      </c>
      <c r="L49">
        <v>0.98099999999999998</v>
      </c>
      <c r="M49">
        <f t="shared" si="0"/>
        <v>98.1</v>
      </c>
      <c r="N49">
        <f t="shared" si="1"/>
        <v>1.7212463990471707</v>
      </c>
      <c r="O49">
        <f>IFERROR(MainTbl[[#This Row],[solv_1_ratio]]*VLOOKUP(MainTbl[[#This Row],[solvent_1_smiles]],SolvTbl[],13,FALSE),0)</f>
        <v>7.4947196293520486</v>
      </c>
      <c r="P49">
        <f>IFERROR(MainTbl[[#This Row],[solv_2_ratio]]*VLOOKUP(MainTbl[[#This Row],[solvent_2_smiles]],SolvTbl[],13,FALSE),0)</f>
        <v>4.1268094472191654</v>
      </c>
      <c r="Q49">
        <f>IFERROR(MainTbl[[#This Row],[solv_3_ratio]]*VLOOKUP(MainTbl[[#This Row],[solvent_3_smiles]],SolvTbl[],13,FALSE),0)</f>
        <v>0</v>
      </c>
      <c r="R49">
        <f>IFERROR(MainTbl[[#This Row],[salt_1_conc]],0)</f>
        <v>1</v>
      </c>
      <c r="S49">
        <f>IFERROR(MainTbl[[#This Row],[salt_2_conc]],0)</f>
        <v>0</v>
      </c>
      <c r="T4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34.864587229713642</v>
      </c>
      <c r="U4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49">
        <f>MainTbl[[#This Row],[O_from_solvents]]+MainTbl[[#This Row],[O_from_salts]]</f>
        <v>34.864587229713642</v>
      </c>
      <c r="W4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43.118206124151975</v>
      </c>
      <c r="X4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49">
        <f>MainTbl[[#This Row],[C_from_solvents]]+MainTbl[[#This Row],[C_from_salts]]</f>
        <v>43.118206124151975</v>
      </c>
      <c r="Z4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4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49">
        <f>MainTbl[[#This Row],[F_from_solvents]]+MainTbl[[#This Row],[F_from_salts]]</f>
        <v>6</v>
      </c>
      <c r="AC4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71.246972989599854</v>
      </c>
      <c r="AD4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49">
        <f>MainTbl[[#This Row],[H_from_solvents]]+MainTbl[[#This Row],[H_from_salts]]</f>
        <v>71.246972989599854</v>
      </c>
      <c r="AF4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4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49">
        <f>MainTbl[[#This Row],[Li_from_solvents]]+MainTbl[[#This Row],[Li_from_salts]]</f>
        <v>1</v>
      </c>
      <c r="AI4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157.22976634346549</v>
      </c>
      <c r="AJ49" s="2">
        <f>IFERROR(MainTbl[[#This Row],[O_total]]/MainTbl[[#This Row],[TotalAtoms_all]],0)</f>
        <v>0.22174291828146969</v>
      </c>
      <c r="AK49" s="2">
        <f>IFERROR(MainTbl[[#This Row],[O_from_solvents]]/MainTbl[[#This Row],[TotalAtoms_all]],0)</f>
        <v>0.22174291828146969</v>
      </c>
      <c r="AL49" s="2">
        <f>IFERROR(MainTbl[[#This Row],[O_from_salts]]/MainTbl[[#This Row],[TotalAtoms_all]],0)</f>
        <v>0</v>
      </c>
      <c r="AM49" s="2">
        <f>IFERROR(MainTbl[[#This Row],[C_total]]/MainTbl[[#This Row],[TotalAtoms_all]],0)</f>
        <v>0.27423691535584338</v>
      </c>
      <c r="AN49" s="2">
        <f>IFERROR(MainTbl[[#This Row],[C_from_solvents]]/MainTbl[[#This Row],[TotalAtoms_all]],0)</f>
        <v>0.27423691535584338</v>
      </c>
      <c r="AO49" s="2">
        <f>IFERROR(MainTbl[[#This Row],[C_from_salts]]/MainTbl[[#This Row],[TotalAtoms_all]],0)</f>
        <v>0</v>
      </c>
      <c r="AP49" s="2">
        <f>IFERROR(MainTbl[[#This Row],[F_total]]/MainTbl[[#This Row],[TotalAtoms_all]],0)</f>
        <v>3.8160713073204677E-2</v>
      </c>
      <c r="AQ49" s="2">
        <f>IFERROR(MainTbl[[#This Row],[F_from_solvents]]/MainTbl[[#This Row],[TotalAtoms_all]],0)</f>
        <v>0</v>
      </c>
      <c r="AR49" s="2">
        <f>IFERROR(MainTbl[[#This Row],[F_from_salts]]/MainTbl[[#This Row],[TotalAtoms_all]],0)</f>
        <v>3.8160713073204677E-2</v>
      </c>
      <c r="AS49" s="2">
        <f>IFERROR(MainTbl[[#This Row],[F_total]]/MainTbl[[#This Row],[O_total]],0)</f>
        <v>0.17209439367423368</v>
      </c>
      <c r="AT49" s="2">
        <f>IFERROR(MainTbl[[#This Row],[F_total]]/MainTbl[[#This Row],[C_total]],0)</f>
        <v>0.13915235672662171</v>
      </c>
      <c r="AU49" s="2">
        <f>IFERROR(MainTbl[[#This Row],[O_total]]/MainTbl[[#This Row],[C_total]],0)</f>
        <v>0.80858157988592205</v>
      </c>
      <c r="AV49" s="2">
        <f>IFERROR((MainTbl[[#This Row],[TotalAtoms_all]]-(MainTbl[[#This Row],[C_total]]+MainTbl[[#This Row],[H_total]]+MainTbl[[#This Row],[Li_total]]))/MainTbl[[#This Row],[C_total]],0)</f>
        <v>0.97092599606698116</v>
      </c>
      <c r="AW49" t="str">
        <f>IFERROR(VLOOKUP(MainTbl[[#This Row],[salt_1_smiles]],SaltTbl[],MATCH("Salt",SaltTbl[#Headers],0),FALSE),"")</f>
        <v>LiPF6</v>
      </c>
      <c r="AX49" t="str">
        <f>IFERROR(VLOOKUP(MainTbl[[#This Row],[salt_2_smiles]],SaltTbl[],MATCH("Salt",SaltTbl[#Headers],0),FALSE),"")</f>
        <v/>
      </c>
      <c r="AY49" t="str">
        <f>IFERROR(VLOOKUP(MainTbl[[#This Row],[solvent_1_smiles]],SolvTbl[],MATCH("Solvent",SolvTbl[#Headers],0),FALSE),"")</f>
        <v>Ethylene carbonate</v>
      </c>
      <c r="AZ49" t="str">
        <f>IFERROR(VLOOKUP(MainTbl[[#This Row],[solvent_2_smiles]],SolvTbl[],MATCH("Solvent",SolvTbl[#Headers],0),FALSE),"")</f>
        <v>Diethyl Carbonate</v>
      </c>
      <c r="BA49" t="str">
        <f>IFERROR(VLOOKUP(MainTbl[[#This Row],[solvent_3_smiles]],SolvTbl[],MATCH("Solvent",SolvTbl[#Headers],0),FALSE),"")</f>
        <v/>
      </c>
      <c r="BB49">
        <f>--(MainTbl[[#This Row],[solv_1_ratio]]&gt;0)+--(MainTbl[[#This Row],[solv_2_ratio]]&gt;0)+--(MainTbl[[#This Row],[solv_3_ratio]]&gt;0)</f>
        <v>2</v>
      </c>
      <c r="BC49" t="str">
        <f>IF(AND(MainTbl[[#This Row],[SaltName1]]&lt;&gt;"",MainTbl[[#This Row],[salt_1_conc]]&gt;0),TEXT(MainTbl[[#This Row],[salt_1_conc]],"0.###")&amp;" M "&amp;MainTbl[[#This Row],[SaltName1]],"")</f>
        <v>1. M LiPF6</v>
      </c>
      <c r="BD49" t="str">
        <f>IF(AND(MainTbl[[#This Row],[SaltName2]]&lt;&gt;"",MainTbl[[#This Row],[salt_2_conc]]&gt;0),TEXT(MainTbl[[#This Row],[salt_2_conc]],"0.###")&amp;" M "&amp;MainTbl[[#This Row],[SaltName2]],"")</f>
        <v/>
      </c>
      <c r="BE4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49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49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50.%</v>
      </c>
      <c r="BH4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4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Diethyl Carbonate 50.%</v>
      </c>
      <c r="BJ49" t="str">
        <f>TRIM(_xlfn.CONCAT(MainTbl[[#This Row],[Salt_text]]," ",MainTbl[[#This Row],[Solvent_text]]))</f>
        <v>1. M LiPF6 Ethylene carbonate 50.% + Diethyl Carbonate 50.%</v>
      </c>
    </row>
    <row r="50" spans="1:62" x14ac:dyDescent="0.25">
      <c r="A50" t="s">
        <v>24</v>
      </c>
      <c r="B50" t="s">
        <v>43</v>
      </c>
      <c r="D50" t="s">
        <v>29</v>
      </c>
      <c r="G50">
        <v>0.5</v>
      </c>
      <c r="H50">
        <v>0.5</v>
      </c>
      <c r="I50">
        <v>0</v>
      </c>
      <c r="J50">
        <v>1</v>
      </c>
      <c r="K50">
        <v>0</v>
      </c>
      <c r="L50">
        <v>0.98299999999999998</v>
      </c>
      <c r="M50">
        <f t="shared" si="0"/>
        <v>98.3</v>
      </c>
      <c r="N50">
        <f t="shared" si="1"/>
        <v>1.7695510786217257</v>
      </c>
      <c r="O50">
        <f>IFERROR(MainTbl[[#This Row],[solv_1_ratio]]*VLOOKUP(MainTbl[[#This Row],[solvent_1_smiles]],SolvTbl[],13,FALSE),0)</f>
        <v>6.8549983970430155</v>
      </c>
      <c r="P50">
        <f>IFERROR(MainTbl[[#This Row],[solv_2_ratio]]*VLOOKUP(MainTbl[[#This Row],[solvent_2_smiles]],SolvTbl[],13,FALSE),0)</f>
        <v>3.3173804194938121</v>
      </c>
      <c r="Q50">
        <f>IFERROR(MainTbl[[#This Row],[solv_3_ratio]]*VLOOKUP(MainTbl[[#This Row],[solvent_3_smiles]],SolvTbl[],13,FALSE),0)</f>
        <v>0</v>
      </c>
      <c r="R50">
        <f>IFERROR(MainTbl[[#This Row],[salt_1_conc]],0)</f>
        <v>1</v>
      </c>
      <c r="S50">
        <f>IFERROR(MainTbl[[#This Row],[salt_2_conc]],0)</f>
        <v>0</v>
      </c>
      <c r="T5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30.517136449610483</v>
      </c>
      <c r="U5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50">
        <f>MainTbl[[#This Row],[O_from_solvents]]+MainTbl[[#This Row],[O_from_salts]]</f>
        <v>30.517136449610483</v>
      </c>
      <c r="W5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37.151897288598107</v>
      </c>
      <c r="X5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50">
        <f>MainTbl[[#This Row],[C_from_solvents]]+MainTbl[[#This Row],[C_from_salts]]</f>
        <v>37.151897288598107</v>
      </c>
      <c r="Z5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26.759280914005888</v>
      </c>
      <c r="AA5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50">
        <f>MainTbl[[#This Row],[F_from_solvents]]+MainTbl[[#This Row],[F_from_salts]]</f>
        <v>32.759280914005885</v>
      </c>
      <c r="AC5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33.834516869104291</v>
      </c>
      <c r="AD5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0">
        <f>MainTbl[[#This Row],[H_from_solvents]]+MainTbl[[#This Row],[H_from_salts]]</f>
        <v>33.834516869104291</v>
      </c>
      <c r="AF5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50">
        <f>MainTbl[[#This Row],[Li_from_solvents]]+MainTbl[[#This Row],[Li_from_salts]]</f>
        <v>1</v>
      </c>
      <c r="AI5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136.26283152131879</v>
      </c>
      <c r="AJ50" s="2">
        <f>IFERROR(MainTbl[[#This Row],[O_total]]/MainTbl[[#This Row],[TotalAtoms_all]],0)</f>
        <v>0.223957891590092</v>
      </c>
      <c r="AK50" s="2">
        <f>IFERROR(MainTbl[[#This Row],[O_from_solvents]]/MainTbl[[#This Row],[TotalAtoms_all]],0)</f>
        <v>0.223957891590092</v>
      </c>
      <c r="AL50" s="2">
        <f>IFERROR(MainTbl[[#This Row],[O_from_salts]]/MainTbl[[#This Row],[TotalAtoms_all]],0)</f>
        <v>0</v>
      </c>
      <c r="AM50" s="2">
        <f>IFERROR(MainTbl[[#This Row],[C_total]]/MainTbl[[#This Row],[TotalAtoms_all]],0)</f>
        <v>0.27264879845672052</v>
      </c>
      <c r="AN50" s="2">
        <f>IFERROR(MainTbl[[#This Row],[C_from_solvents]]/MainTbl[[#This Row],[TotalAtoms_all]],0)</f>
        <v>0.27264879845672052</v>
      </c>
      <c r="AO50" s="2">
        <f>IFERROR(MainTbl[[#This Row],[C_from_salts]]/MainTbl[[#This Row],[TotalAtoms_all]],0)</f>
        <v>0</v>
      </c>
      <c r="AP50" s="2">
        <f>IFERROR(MainTbl[[#This Row],[F_total]]/MainTbl[[#This Row],[TotalAtoms_all]],0)</f>
        <v>0.24041244812148632</v>
      </c>
      <c r="AQ50" s="2">
        <f>IFERROR(MainTbl[[#This Row],[F_from_solvents]]/MainTbl[[#This Row],[TotalAtoms_all]],0)</f>
        <v>0.19637989769660194</v>
      </c>
      <c r="AR50" s="2">
        <f>IFERROR(MainTbl[[#This Row],[F_from_salts]]/MainTbl[[#This Row],[TotalAtoms_all]],0)</f>
        <v>4.4032550424884423E-2</v>
      </c>
      <c r="AS50" s="2">
        <f>IFERROR(MainTbl[[#This Row],[F_total]]/MainTbl[[#This Row],[O_total]],0)</f>
        <v>1.0734716531512583</v>
      </c>
      <c r="AT50" s="2">
        <f>IFERROR(MainTbl[[#This Row],[F_total]]/MainTbl[[#This Row],[C_total]],0)</f>
        <v>0.88176602824695272</v>
      </c>
      <c r="AU50" s="2">
        <f>IFERROR(MainTbl[[#This Row],[O_total]]/MainTbl[[#This Row],[C_total]],0)</f>
        <v>0.82141528903763883</v>
      </c>
      <c r="AV50" s="2">
        <f>IFERROR((MainTbl[[#This Row],[TotalAtoms_all]]-(MainTbl[[#This Row],[C_total]]+MainTbl[[#This Row],[H_total]]+MainTbl[[#This Row],[Li_total]]))/MainTbl[[#This Row],[C_total]],0)</f>
        <v>1.7300978430337872</v>
      </c>
      <c r="AW50" t="str">
        <f>IFERROR(VLOOKUP(MainTbl[[#This Row],[salt_1_smiles]],SaltTbl[],MATCH("Salt",SaltTbl[#Headers],0),FALSE),"")</f>
        <v>LiPF6</v>
      </c>
      <c r="AX50" t="str">
        <f>IFERROR(VLOOKUP(MainTbl[[#This Row],[salt_2_smiles]],SaltTbl[],MATCH("Salt",SaltTbl[#Headers],0),FALSE),"")</f>
        <v/>
      </c>
      <c r="AY50" t="str">
        <f>IFERROR(VLOOKUP(MainTbl[[#This Row],[solvent_1_smiles]],SolvTbl[],MATCH("Solvent",SolvTbl[#Headers],0),FALSE),"")</f>
        <v>Fluoroethylene carbonate</v>
      </c>
      <c r="AZ50" t="str">
        <f>IFERROR(VLOOKUP(MainTbl[[#This Row],[solvent_2_smiles]],SolvTbl[],MATCH("Solvent",SolvTbl[#Headers],0),FALSE),"")</f>
        <v>Bis(2,2,2-trifluoroethyl) carbonate</v>
      </c>
      <c r="BA50" t="str">
        <f>IFERROR(VLOOKUP(MainTbl[[#This Row],[solvent_3_smiles]],SolvTbl[],MATCH("Solvent",SolvTbl[#Headers],0),FALSE),"")</f>
        <v/>
      </c>
      <c r="BB50">
        <f>--(MainTbl[[#This Row],[solv_1_ratio]]&gt;0)+--(MainTbl[[#This Row],[solv_2_ratio]]&gt;0)+--(MainTbl[[#This Row],[solv_3_ratio]]&gt;0)</f>
        <v>2</v>
      </c>
      <c r="BC50" t="str">
        <f>IF(AND(MainTbl[[#This Row],[SaltName1]]&lt;&gt;"",MainTbl[[#This Row],[salt_1_conc]]&gt;0),TEXT(MainTbl[[#This Row],[salt_1_conc]],"0.###")&amp;" M "&amp;MainTbl[[#This Row],[SaltName1]],"")</f>
        <v>1. M LiPF6</v>
      </c>
      <c r="BD50" t="str">
        <f>IF(AND(MainTbl[[#This Row],[SaltName2]]&lt;&gt;"",MainTbl[[#This Row],[salt_2_conc]]&gt;0),TEXT(MainTbl[[#This Row],[salt_2_conc]],"0.###")&amp;" M "&amp;MainTbl[[#This Row],[SaltName2]],"")</f>
        <v/>
      </c>
      <c r="BE5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50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50.%</v>
      </c>
      <c r="BG50" t="str">
        <f>IF(MainTbl[[#This Row],[SolvCount]]=1,MainTbl[[#This Row],[SolvName2]],IF(MainTbl[[#This Row],[solv_2_ratio]]&gt;0,MainTbl[[#This Row],[SolvName2]]&amp;" "&amp;TEXT(MainTbl[[#This Row],[solv_2_ratio]]*100,"0.##")&amp;"%",""))</f>
        <v>Bis(2,2,2-trifluoroethyl) carbonate 50.%</v>
      </c>
      <c r="BH5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50.% + Bis(2,2,2-trifluoroethyl) carbonate 50.%</v>
      </c>
      <c r="BJ50" t="str">
        <f>TRIM(_xlfn.CONCAT(MainTbl[[#This Row],[Salt_text]]," ",MainTbl[[#This Row],[Solvent_text]]))</f>
        <v>1. M LiPF6 Fluoroethylene carbonate 50.% + Bis(2,2,2-trifluoroethyl) carbonate 50.%</v>
      </c>
    </row>
    <row r="51" spans="1:62" x14ac:dyDescent="0.25">
      <c r="A51" t="s">
        <v>24</v>
      </c>
      <c r="B51" t="s">
        <v>27</v>
      </c>
      <c r="D51" t="s">
        <v>29</v>
      </c>
      <c r="G51">
        <v>0.2</v>
      </c>
      <c r="H51">
        <v>0.8</v>
      </c>
      <c r="I51">
        <v>0</v>
      </c>
      <c r="J51">
        <v>1</v>
      </c>
      <c r="K51">
        <v>0</v>
      </c>
      <c r="L51">
        <v>0.98499999999999999</v>
      </c>
      <c r="M51">
        <f t="shared" si="0"/>
        <v>98.5</v>
      </c>
      <c r="N51">
        <f t="shared" si="1"/>
        <v>1.8239087409443184</v>
      </c>
      <c r="O51">
        <f>IFERROR(MainTbl[[#This Row],[solv_1_ratio]]*VLOOKUP(MainTbl[[#This Row],[solvent_1_smiles]],SolvTbl[],13,FALSE),0)</f>
        <v>2.7419993588172065</v>
      </c>
      <c r="P51">
        <f>IFERROR(MainTbl[[#This Row],[solv_2_ratio]]*VLOOKUP(MainTbl[[#This Row],[solvent_2_smiles]],SolvTbl[],13,FALSE),0)</f>
        <v>9.5028752858633627</v>
      </c>
      <c r="Q51">
        <f>IFERROR(MainTbl[[#This Row],[solv_3_ratio]]*VLOOKUP(MainTbl[[#This Row],[solvent_3_smiles]],SolvTbl[],13,FALSE),0)</f>
        <v>0</v>
      </c>
      <c r="R51">
        <f>IFERROR(MainTbl[[#This Row],[salt_1_conc]],0)</f>
        <v>1</v>
      </c>
      <c r="S51">
        <f>IFERROR(MainTbl[[#This Row],[salt_2_conc]],0)</f>
        <v>0</v>
      </c>
      <c r="T5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36.734623934041707</v>
      </c>
      <c r="U5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51">
        <f>MainTbl[[#This Row],[O_from_solvents]]+MainTbl[[#This Row],[O_from_salts]]</f>
        <v>36.734623934041707</v>
      </c>
      <c r="W5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36.734623934041707</v>
      </c>
      <c r="X5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51">
        <f>MainTbl[[#This Row],[C_from_solvents]]+MainTbl[[#This Row],[C_from_salts]]</f>
        <v>36.734623934041707</v>
      </c>
      <c r="Z5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2.7419993588172065</v>
      </c>
      <c r="AA5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51">
        <f>MainTbl[[#This Row],[F_from_solvents]]+MainTbl[[#This Row],[F_from_salts]]</f>
        <v>8.7419993588172069</v>
      </c>
      <c r="AC5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65.243249791631797</v>
      </c>
      <c r="AD5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1">
        <f>MainTbl[[#This Row],[H_from_solvents]]+MainTbl[[#This Row],[H_from_salts]]</f>
        <v>65.243249791631797</v>
      </c>
      <c r="AF5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51">
        <f>MainTbl[[#This Row],[Li_from_solvents]]+MainTbl[[#This Row],[Li_from_salts]]</f>
        <v>1</v>
      </c>
      <c r="AI5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149.45449701853244</v>
      </c>
      <c r="AJ51" s="2">
        <f>IFERROR(MainTbl[[#This Row],[O_total]]/MainTbl[[#This Row],[TotalAtoms_all]],0)</f>
        <v>0.24579135902137889</v>
      </c>
      <c r="AK51" s="2">
        <f>IFERROR(MainTbl[[#This Row],[O_from_solvents]]/MainTbl[[#This Row],[TotalAtoms_all]],0)</f>
        <v>0.24579135902137889</v>
      </c>
      <c r="AL51" s="2">
        <f>IFERROR(MainTbl[[#This Row],[O_from_salts]]/MainTbl[[#This Row],[TotalAtoms_all]],0)</f>
        <v>0</v>
      </c>
      <c r="AM51" s="2">
        <f>IFERROR(MainTbl[[#This Row],[C_total]]/MainTbl[[#This Row],[TotalAtoms_all]],0)</f>
        <v>0.24579135902137889</v>
      </c>
      <c r="AN51" s="2">
        <f>IFERROR(MainTbl[[#This Row],[C_from_solvents]]/MainTbl[[#This Row],[TotalAtoms_all]],0)</f>
        <v>0.24579135902137889</v>
      </c>
      <c r="AO51" s="2">
        <f>IFERROR(MainTbl[[#This Row],[C_from_salts]]/MainTbl[[#This Row],[TotalAtoms_all]],0)</f>
        <v>0</v>
      </c>
      <c r="AP51" s="2">
        <f>IFERROR(MainTbl[[#This Row],[F_total]]/MainTbl[[#This Row],[TotalAtoms_all]],0)</f>
        <v>5.8492715396400517E-2</v>
      </c>
      <c r="AQ51" s="2">
        <f>IFERROR(MainTbl[[#This Row],[F_from_solvents]]/MainTbl[[#This Row],[TotalAtoms_all]],0)</f>
        <v>1.8346716984214917E-2</v>
      </c>
      <c r="AR51" s="2">
        <f>IFERROR(MainTbl[[#This Row],[F_from_salts]]/MainTbl[[#This Row],[TotalAtoms_all]],0)</f>
        <v>4.0145998412185593E-2</v>
      </c>
      <c r="AS51" s="2">
        <f>IFERROR(MainTbl[[#This Row],[F_total]]/MainTbl[[#This Row],[O_total]],0)</f>
        <v>0.23797710232487396</v>
      </c>
      <c r="AT51" s="2">
        <f>IFERROR(MainTbl[[#This Row],[F_total]]/MainTbl[[#This Row],[C_total]],0)</f>
        <v>0.23797710232487396</v>
      </c>
      <c r="AU51" s="2">
        <f>IFERROR(MainTbl[[#This Row],[O_total]]/MainTbl[[#This Row],[C_total]],0)</f>
        <v>1</v>
      </c>
      <c r="AV51" s="2">
        <f>IFERROR((MainTbl[[#This Row],[TotalAtoms_all]]-(MainTbl[[#This Row],[C_total]]+MainTbl[[#This Row],[H_total]]+MainTbl[[#This Row],[Li_total]]))/MainTbl[[#This Row],[C_total]],0)</f>
        <v>1.2651993763787897</v>
      </c>
      <c r="AW51" t="str">
        <f>IFERROR(VLOOKUP(MainTbl[[#This Row],[salt_1_smiles]],SaltTbl[],MATCH("Salt",SaltTbl[#Headers],0),FALSE),"")</f>
        <v>LiPF6</v>
      </c>
      <c r="AX51" t="str">
        <f>IFERROR(VLOOKUP(MainTbl[[#This Row],[salt_2_smiles]],SaltTbl[],MATCH("Salt",SaltTbl[#Headers],0),FALSE),"")</f>
        <v/>
      </c>
      <c r="AY51" t="str">
        <f>IFERROR(VLOOKUP(MainTbl[[#This Row],[solvent_1_smiles]],SolvTbl[],MATCH("Solvent",SolvTbl[#Headers],0),FALSE),"")</f>
        <v>Fluoroethylene carbonate</v>
      </c>
      <c r="AZ51" t="str">
        <f>IFERROR(VLOOKUP(MainTbl[[#This Row],[solvent_2_smiles]],SolvTbl[],MATCH("Solvent",SolvTbl[#Headers],0),FALSE),"")</f>
        <v>DMC (C3H6O3)</v>
      </c>
      <c r="BA51" t="str">
        <f>IFERROR(VLOOKUP(MainTbl[[#This Row],[solvent_3_smiles]],SolvTbl[],MATCH("Solvent",SolvTbl[#Headers],0),FALSE),"")</f>
        <v/>
      </c>
      <c r="BB51">
        <f>--(MainTbl[[#This Row],[solv_1_ratio]]&gt;0)+--(MainTbl[[#This Row],[solv_2_ratio]]&gt;0)+--(MainTbl[[#This Row],[solv_3_ratio]]&gt;0)</f>
        <v>2</v>
      </c>
      <c r="BC51" t="str">
        <f>IF(AND(MainTbl[[#This Row],[SaltName1]]&lt;&gt;"",MainTbl[[#This Row],[salt_1_conc]]&gt;0),TEXT(MainTbl[[#This Row],[salt_1_conc]],"0.###")&amp;" M "&amp;MainTbl[[#This Row],[SaltName1]],"")</f>
        <v>1. M LiPF6</v>
      </c>
      <c r="BD51" t="str">
        <f>IF(AND(MainTbl[[#This Row],[SaltName2]]&lt;&gt;"",MainTbl[[#This Row],[salt_2_conc]]&gt;0),TEXT(MainTbl[[#This Row],[salt_2_conc]],"0.###")&amp;" M "&amp;MainTbl[[#This Row],[SaltName2]],"")</f>
        <v/>
      </c>
      <c r="BE5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51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20.%</v>
      </c>
      <c r="BG51" t="str">
        <f>IF(MainTbl[[#This Row],[SolvCount]]=1,MainTbl[[#This Row],[SolvName2]],IF(MainTbl[[#This Row],[solv_2_ratio]]&gt;0,MainTbl[[#This Row],[SolvName2]]&amp;" "&amp;TEXT(MainTbl[[#This Row],[solv_2_ratio]]*100,"0.##")&amp;"%",""))</f>
        <v>DMC (C3H6O3) 80.%</v>
      </c>
      <c r="BH5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20.% + DMC (C3H6O3) 80.%</v>
      </c>
      <c r="BJ51" t="str">
        <f>TRIM(_xlfn.CONCAT(MainTbl[[#This Row],[Salt_text]]," ",MainTbl[[#This Row],[Solvent_text]]))</f>
        <v>1. M LiPF6 Fluoroethylene carbonate 20.% + DMC (C3H6O3) 80.%</v>
      </c>
    </row>
    <row r="52" spans="1:62" x14ac:dyDescent="0.25">
      <c r="A52" t="s">
        <v>19</v>
      </c>
      <c r="B52" t="s">
        <v>27</v>
      </c>
      <c r="D52" t="s">
        <v>23</v>
      </c>
      <c r="F52" t="s">
        <v>41</v>
      </c>
      <c r="G52">
        <v>0.5</v>
      </c>
      <c r="H52">
        <v>0.5</v>
      </c>
      <c r="I52">
        <v>0</v>
      </c>
      <c r="J52">
        <v>1</v>
      </c>
      <c r="K52">
        <v>0</v>
      </c>
      <c r="L52">
        <v>0.82</v>
      </c>
      <c r="M52">
        <f t="shared" si="0"/>
        <v>82</v>
      </c>
      <c r="N52">
        <f t="shared" si="1"/>
        <v>0.74472749489669376</v>
      </c>
      <c r="O52">
        <f>IFERROR(MainTbl[[#This Row],[solv_1_ratio]]*VLOOKUP(MainTbl[[#This Row],[solvent_1_smiles]],SolvTbl[],13,FALSE),0)</f>
        <v>7.4947196293520486</v>
      </c>
      <c r="P52">
        <f>IFERROR(MainTbl[[#This Row],[solv_2_ratio]]*VLOOKUP(MainTbl[[#This Row],[solvent_2_smiles]],SolvTbl[],13,FALSE),0)</f>
        <v>5.9392970536646015</v>
      </c>
      <c r="Q52">
        <f>IFERROR(MainTbl[[#This Row],[solv_3_ratio]]*VLOOKUP(MainTbl[[#This Row],[solvent_3_smiles]],SolvTbl[],13,FALSE),0)</f>
        <v>0</v>
      </c>
      <c r="R52">
        <f>IFERROR(MainTbl[[#This Row],[salt_1_conc]],0)</f>
        <v>1</v>
      </c>
      <c r="S52">
        <f>IFERROR(MainTbl[[#This Row],[salt_2_conc]],0)</f>
        <v>0</v>
      </c>
      <c r="T5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40.302050049049953</v>
      </c>
      <c r="U5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52">
        <f>MainTbl[[#This Row],[O_from_solvents]]+MainTbl[[#This Row],[O_from_salts]]</f>
        <v>44.302050049049953</v>
      </c>
      <c r="W5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40.302050049049953</v>
      </c>
      <c r="X5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2</v>
      </c>
      <c r="Y52">
        <f>MainTbl[[#This Row],[C_from_solvents]]+MainTbl[[#This Row],[C_from_salts]]</f>
        <v>42.302050049049953</v>
      </c>
      <c r="Z5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5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52">
        <f>MainTbl[[#This Row],[F_from_solvents]]+MainTbl[[#This Row],[F_from_salts]]</f>
        <v>6</v>
      </c>
      <c r="AC5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65.614660839395796</v>
      </c>
      <c r="AD5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2">
        <f>MainTbl[[#This Row],[H_from_solvents]]+MainTbl[[#This Row],[H_from_salts]]</f>
        <v>65.614660839395796</v>
      </c>
      <c r="AF5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52">
        <f>MainTbl[[#This Row],[Li_from_solvents]]+MainTbl[[#This Row],[Li_from_salts]]</f>
        <v>1</v>
      </c>
      <c r="AI5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162.21876093749569</v>
      </c>
      <c r="AJ52" s="2">
        <f>IFERROR(MainTbl[[#This Row],[O_total]]/MainTbl[[#This Row],[TotalAtoms_all]],0)</f>
        <v>0.27310065613261542</v>
      </c>
      <c r="AK52" s="2">
        <f>IFERROR(MainTbl[[#This Row],[O_from_solvents]]/MainTbl[[#This Row],[TotalAtoms_all]],0)</f>
        <v>0.2484425957647321</v>
      </c>
      <c r="AL52" s="2">
        <f>IFERROR(MainTbl[[#This Row],[O_from_salts]]/MainTbl[[#This Row],[TotalAtoms_all]],0)</f>
        <v>2.4658060367883313E-2</v>
      </c>
      <c r="AM52" s="2">
        <f>IFERROR(MainTbl[[#This Row],[C_total]]/MainTbl[[#This Row],[TotalAtoms_all]],0)</f>
        <v>0.26077162594867376</v>
      </c>
      <c r="AN52" s="2">
        <f>IFERROR(MainTbl[[#This Row],[C_from_solvents]]/MainTbl[[#This Row],[TotalAtoms_all]],0)</f>
        <v>0.2484425957647321</v>
      </c>
      <c r="AO52" s="2">
        <f>IFERROR(MainTbl[[#This Row],[C_from_salts]]/MainTbl[[#This Row],[TotalAtoms_all]],0)</f>
        <v>1.2329030183941657E-2</v>
      </c>
      <c r="AP52" s="2">
        <f>IFERROR(MainTbl[[#This Row],[F_total]]/MainTbl[[#This Row],[TotalAtoms_all]],0)</f>
        <v>3.6987090551824968E-2</v>
      </c>
      <c r="AQ52" s="2">
        <f>IFERROR(MainTbl[[#This Row],[F_from_solvents]]/MainTbl[[#This Row],[TotalAtoms_all]],0)</f>
        <v>0</v>
      </c>
      <c r="AR52" s="2">
        <f>IFERROR(MainTbl[[#This Row],[F_from_salts]]/MainTbl[[#This Row],[TotalAtoms_all]],0)</f>
        <v>3.6987090551824968E-2</v>
      </c>
      <c r="AS52" s="2">
        <f>IFERROR(MainTbl[[#This Row],[F_total]]/MainTbl[[#This Row],[O_total]],0)</f>
        <v>0.13543391317911865</v>
      </c>
      <c r="AT52" s="2">
        <f>IFERROR(MainTbl[[#This Row],[F_total]]/MainTbl[[#This Row],[C_total]],0)</f>
        <v>0.14183709756484372</v>
      </c>
      <c r="AU52" s="2">
        <f>IFERROR(MainTbl[[#This Row],[O_total]]/MainTbl[[#This Row],[C_total]],0)</f>
        <v>1.0472790325216146</v>
      </c>
      <c r="AV52" s="2">
        <f>IFERROR((MainTbl[[#This Row],[TotalAtoms_all]]-(MainTbl[[#This Row],[C_total]]+MainTbl[[#This Row],[H_total]]+MainTbl[[#This Row],[Li_total]]))/MainTbl[[#This Row],[C_total]],0)</f>
        <v>1.2600346788688799</v>
      </c>
      <c r="AW52" t="str">
        <f>IFERROR(VLOOKUP(MainTbl[[#This Row],[salt_1_smiles]],SaltTbl[],MATCH("Salt",SaltTbl[#Headers],0),FALSE),"")</f>
        <v>LiTFSI</v>
      </c>
      <c r="AX52" t="str">
        <f>IFERROR(VLOOKUP(MainTbl[[#This Row],[salt_2_smiles]],SaltTbl[],MATCH("Salt",SaltTbl[#Headers],0),FALSE),"")</f>
        <v/>
      </c>
      <c r="AY52" t="str">
        <f>IFERROR(VLOOKUP(MainTbl[[#This Row],[solvent_1_smiles]],SolvTbl[],MATCH("Solvent",SolvTbl[#Headers],0),FALSE),"")</f>
        <v>Ethylene carbonate</v>
      </c>
      <c r="AZ52" t="str">
        <f>IFERROR(VLOOKUP(MainTbl[[#This Row],[solvent_2_smiles]],SolvTbl[],MATCH("Solvent",SolvTbl[#Headers],0),FALSE),"")</f>
        <v>DMC (C3H6O3)</v>
      </c>
      <c r="BA52" t="str">
        <f>IFERROR(VLOOKUP(MainTbl[[#This Row],[solvent_3_smiles]],SolvTbl[],MATCH("Solvent",SolvTbl[#Headers],0),FALSE),"")</f>
        <v/>
      </c>
      <c r="BB52">
        <f>--(MainTbl[[#This Row],[solv_1_ratio]]&gt;0)+--(MainTbl[[#This Row],[solv_2_ratio]]&gt;0)+--(MainTbl[[#This Row],[solv_3_ratio]]&gt;0)</f>
        <v>2</v>
      </c>
      <c r="BC52" t="str">
        <f>IF(AND(MainTbl[[#This Row],[SaltName1]]&lt;&gt;"",MainTbl[[#This Row],[salt_1_conc]]&gt;0),TEXT(MainTbl[[#This Row],[salt_1_conc]],"0.###")&amp;" M "&amp;MainTbl[[#This Row],[SaltName1]],"")</f>
        <v>1. M LiTFSI</v>
      </c>
      <c r="BD52" t="str">
        <f>IF(AND(MainTbl[[#This Row],[SaltName2]]&lt;&gt;"",MainTbl[[#This Row],[salt_2_conc]]&gt;0),TEXT(MainTbl[[#This Row],[salt_2_conc]],"0.###")&amp;" M "&amp;MainTbl[[#This Row],[SaltName2]],"")</f>
        <v/>
      </c>
      <c r="BE5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LiTFSI</v>
      </c>
      <c r="BF52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52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5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DMC (C3H6O3) 50.%</v>
      </c>
      <c r="BJ52" t="str">
        <f>TRIM(_xlfn.CONCAT(MainTbl[[#This Row],[Salt_text]]," ",MainTbl[[#This Row],[Solvent_text]]))</f>
        <v>1. M LiTFSI Ethylene carbonate 50.% + DMC (C3H6O3) 50.%</v>
      </c>
    </row>
    <row r="53" spans="1:62" x14ac:dyDescent="0.25">
      <c r="A53" t="s">
        <v>20</v>
      </c>
      <c r="B53" t="s">
        <v>18</v>
      </c>
      <c r="D53" t="s">
        <v>23</v>
      </c>
      <c r="G53">
        <v>0.5</v>
      </c>
      <c r="H53">
        <v>0.5</v>
      </c>
      <c r="I53">
        <v>0</v>
      </c>
      <c r="J53">
        <v>1</v>
      </c>
      <c r="K53">
        <v>0</v>
      </c>
      <c r="L53">
        <v>0.82699999999999996</v>
      </c>
      <c r="M53">
        <f t="shared" si="0"/>
        <v>82.699999999999989</v>
      </c>
      <c r="N53">
        <f t="shared" si="1"/>
        <v>0.76195389687120452</v>
      </c>
      <c r="O53">
        <f>IFERROR(MainTbl[[#This Row],[solv_1_ratio]]*VLOOKUP(MainTbl[[#This Row],[solvent_1_smiles]],SolvTbl[],13,FALSE),0)</f>
        <v>7.1546208050973297</v>
      </c>
      <c r="P53">
        <f>IFERROR(MainTbl[[#This Row],[solv_2_ratio]]*VLOOKUP(MainTbl[[#This Row],[solvent_2_smiles]],SolvTbl[],13,FALSE),0)</f>
        <v>4.8158011540168655</v>
      </c>
      <c r="Q53">
        <f>IFERROR(MainTbl[[#This Row],[solv_3_ratio]]*VLOOKUP(MainTbl[[#This Row],[solvent_3_smiles]],SolvTbl[],13,FALSE),0)</f>
        <v>0</v>
      </c>
      <c r="R53">
        <f>IFERROR(MainTbl[[#This Row],[salt_1_conc]],0)</f>
        <v>1</v>
      </c>
      <c r="S53">
        <f>IFERROR(MainTbl[[#This Row],[salt_2_conc]],0)</f>
        <v>0</v>
      </c>
      <c r="T5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23.940843918228389</v>
      </c>
      <c r="U5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53">
        <f>MainTbl[[#This Row],[O_from_solvents]]+MainTbl[[#This Row],[O_from_salts]]</f>
        <v>27.940843918228389</v>
      </c>
      <c r="W5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40.727067031359454</v>
      </c>
      <c r="X5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2</v>
      </c>
      <c r="Y53">
        <f>MainTbl[[#This Row],[C_from_solvents]]+MainTbl[[#This Row],[C_from_salts]]</f>
        <v>42.727067031359454</v>
      </c>
      <c r="Z5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5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53">
        <f>MainTbl[[#This Row],[F_from_solvents]]+MainTbl[[#This Row],[F_from_salts]]</f>
        <v>6</v>
      </c>
      <c r="AC5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91.085736370752642</v>
      </c>
      <c r="AD5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3">
        <f>MainTbl[[#This Row],[H_from_solvents]]+MainTbl[[#This Row],[H_from_salts]]</f>
        <v>91.085736370752642</v>
      </c>
      <c r="AF5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53">
        <f>MainTbl[[#This Row],[Li_from_solvents]]+MainTbl[[#This Row],[Li_from_salts]]</f>
        <v>1</v>
      </c>
      <c r="AI5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171.75364732034046</v>
      </c>
      <c r="AJ53" s="2">
        <f>IFERROR(MainTbl[[#This Row],[O_total]]/MainTbl[[#This Row],[TotalAtoms_all]],0)</f>
        <v>0.16267977043954981</v>
      </c>
      <c r="AK53" s="2">
        <f>IFERROR(MainTbl[[#This Row],[O_from_solvents]]/MainTbl[[#This Row],[TotalAtoms_all]],0)</f>
        <v>0.13939059980237822</v>
      </c>
      <c r="AL53" s="2">
        <f>IFERROR(MainTbl[[#This Row],[O_from_salts]]/MainTbl[[#This Row],[TotalAtoms_all]],0)</f>
        <v>2.3289170637171602E-2</v>
      </c>
      <c r="AM53" s="2">
        <f>IFERROR(MainTbl[[#This Row],[C_total]]/MainTbl[[#This Row],[TotalAtoms_all]],0)</f>
        <v>0.24876948872979984</v>
      </c>
      <c r="AN53" s="2">
        <f>IFERROR(MainTbl[[#This Row],[C_from_solvents]]/MainTbl[[#This Row],[TotalAtoms_all]],0)</f>
        <v>0.23712490341121403</v>
      </c>
      <c r="AO53" s="2">
        <f>IFERROR(MainTbl[[#This Row],[C_from_salts]]/MainTbl[[#This Row],[TotalAtoms_all]],0)</f>
        <v>1.1644585318585801E-2</v>
      </c>
      <c r="AP53" s="2">
        <f>IFERROR(MainTbl[[#This Row],[F_total]]/MainTbl[[#This Row],[TotalAtoms_all]],0)</f>
        <v>3.4933755955757401E-2</v>
      </c>
      <c r="AQ53" s="2">
        <f>IFERROR(MainTbl[[#This Row],[F_from_solvents]]/MainTbl[[#This Row],[TotalAtoms_all]],0)</f>
        <v>0</v>
      </c>
      <c r="AR53" s="2">
        <f>IFERROR(MainTbl[[#This Row],[F_from_salts]]/MainTbl[[#This Row],[TotalAtoms_all]],0)</f>
        <v>3.4933755955757401E-2</v>
      </c>
      <c r="AS53" s="2">
        <f>IFERROR(MainTbl[[#This Row],[F_total]]/MainTbl[[#This Row],[O_total]],0)</f>
        <v>0.21473939790650515</v>
      </c>
      <c r="AT53" s="2">
        <f>IFERROR(MainTbl[[#This Row],[F_total]]/MainTbl[[#This Row],[C_total]],0)</f>
        <v>0.14042620794908087</v>
      </c>
      <c r="AU53" s="2">
        <f>IFERROR(MainTbl[[#This Row],[O_total]]/MainTbl[[#This Row],[C_total]],0)</f>
        <v>0.65393779305565858</v>
      </c>
      <c r="AV53" s="2">
        <f>IFERROR((MainTbl[[#This Row],[TotalAtoms_all]]-(MainTbl[[#This Row],[C_total]]+MainTbl[[#This Row],[H_total]]+MainTbl[[#This Row],[Li_total]]))/MainTbl[[#This Row],[C_total]],0)</f>
        <v>0.86457710497927964</v>
      </c>
      <c r="AW53" t="str">
        <f>IFERROR(VLOOKUP(MainTbl[[#This Row],[salt_1_smiles]],SaltTbl[],MATCH("Salt",SaltTbl[#Headers],0),FALSE),"")</f>
        <v>LiTFSI</v>
      </c>
      <c r="AX53" t="str">
        <f>IFERROR(VLOOKUP(MainTbl[[#This Row],[salt_2_smiles]],SaltTbl[],MATCH("Salt",SaltTbl[#Headers],0),FALSE),"")</f>
        <v/>
      </c>
      <c r="AY53" t="str">
        <f>IFERROR(VLOOKUP(MainTbl[[#This Row],[solvent_1_smiles]],SolvTbl[],MATCH("Solvent",SolvTbl[#Headers],0),FALSE),"")</f>
        <v>1,3-dioxolane (	C3H6O2)</v>
      </c>
      <c r="AZ53" t="str">
        <f>IFERROR(VLOOKUP(MainTbl[[#This Row],[solvent_2_smiles]],SolvTbl[],MATCH("Solvent",SolvTbl[#Headers],0),FALSE),"")</f>
        <v>DME (C4H10O2)</v>
      </c>
      <c r="BA53" t="str">
        <f>IFERROR(VLOOKUP(MainTbl[[#This Row],[solvent_3_smiles]],SolvTbl[],MATCH("Solvent",SolvTbl[#Headers],0),FALSE),"")</f>
        <v/>
      </c>
      <c r="BB53">
        <f>--(MainTbl[[#This Row],[solv_1_ratio]]&gt;0)+--(MainTbl[[#This Row],[solv_2_ratio]]&gt;0)+--(MainTbl[[#This Row],[solv_3_ratio]]&gt;0)</f>
        <v>2</v>
      </c>
      <c r="BC53" t="str">
        <f>IF(AND(MainTbl[[#This Row],[SaltName1]]&lt;&gt;"",MainTbl[[#This Row],[salt_1_conc]]&gt;0),TEXT(MainTbl[[#This Row],[salt_1_conc]],"0.###")&amp;" M "&amp;MainTbl[[#This Row],[SaltName1]],"")</f>
        <v>1. M LiTFSI</v>
      </c>
      <c r="BD53" t="str">
        <f>IF(AND(MainTbl[[#This Row],[SaltName2]]&lt;&gt;"",MainTbl[[#This Row],[salt_2_conc]]&gt;0),TEXT(MainTbl[[#This Row],[salt_2_conc]],"0.###")&amp;" M "&amp;MainTbl[[#This Row],[SaltName2]],"")</f>
        <v/>
      </c>
      <c r="BE5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LiTFSI</v>
      </c>
      <c r="BF53" t="str">
        <f>IF(MainTbl[[#This Row],[SolvCount]]=1,MainTbl[[#This Row],[SolvName1]],IF(MainTbl[[#This Row],[solv_1_ratio]]&gt;0,MainTbl[[#This Row],[SolvName1]]&amp;" "&amp;TEXT(MainTbl[[#This Row],[solv_1_ratio]]*100,"0.##")&amp;"%",""))</f>
        <v>1,3-dioxolane (	C3H6O2) 50.%</v>
      </c>
      <c r="BG53" t="str">
        <f>IF(MainTbl[[#This Row],[SolvCount]]=1,MainTbl[[#This Row],[SolvName2]],IF(MainTbl[[#This Row],[solv_2_ratio]]&gt;0,MainTbl[[#This Row],[SolvName2]]&amp;" "&amp;TEXT(MainTbl[[#This Row],[solv_2_ratio]]*100,"0.##")&amp;"%",""))</f>
        <v>DME (C4H10O2) 50.%</v>
      </c>
      <c r="BH5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1,3-dioxolane (	C3H6O2) 50.% + DME (C4H10O2) 50.%</v>
      </c>
      <c r="BJ53" t="str">
        <f>TRIM(_xlfn.CONCAT(MainTbl[[#This Row],[Salt_text]]," ",MainTbl[[#This Row],[Solvent_text]]))</f>
        <v>1. M LiTFSI 1,3-dioxolane (	C3H6O2) 50.% + DME (C4H10O2) 50.%</v>
      </c>
    </row>
    <row r="54" spans="1:62" x14ac:dyDescent="0.25">
      <c r="A54" t="s">
        <v>18</v>
      </c>
      <c r="D54" t="s">
        <v>22</v>
      </c>
      <c r="E54" t="s">
        <v>23</v>
      </c>
      <c r="G54">
        <v>1</v>
      </c>
      <c r="H54">
        <v>0</v>
      </c>
      <c r="I54">
        <v>0</v>
      </c>
      <c r="J54">
        <v>4</v>
      </c>
      <c r="K54">
        <v>2</v>
      </c>
      <c r="L54">
        <v>0.93700000000000006</v>
      </c>
      <c r="M54">
        <f t="shared" si="0"/>
        <v>93.7</v>
      </c>
      <c r="N54">
        <f t="shared" si="1"/>
        <v>1.2006594505464188</v>
      </c>
      <c r="O54">
        <f>IFERROR(MainTbl[[#This Row],[solv_1_ratio]]*VLOOKUP(MainTbl[[#This Row],[solvent_1_smiles]],SolvTbl[],13,FALSE),0)</f>
        <v>9.631602308033731</v>
      </c>
      <c r="P54">
        <f>IFERROR(MainTbl[[#This Row],[solv_2_ratio]]*VLOOKUP(MainTbl[[#This Row],[solvent_2_smiles]],SolvTbl[],13,FALSE),0)</f>
        <v>0</v>
      </c>
      <c r="Q54">
        <f>IFERROR(MainTbl[[#This Row],[solv_3_ratio]]*VLOOKUP(MainTbl[[#This Row],[solvent_3_smiles]],SolvTbl[],13,FALSE),0)</f>
        <v>0</v>
      </c>
      <c r="R54">
        <f>IFERROR(MainTbl[[#This Row],[salt_1_conc]],0)</f>
        <v>4</v>
      </c>
      <c r="S54">
        <f>IFERROR(MainTbl[[#This Row],[salt_2_conc]],0)</f>
        <v>2</v>
      </c>
      <c r="T5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5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24</v>
      </c>
      <c r="V54">
        <f>MainTbl[[#This Row],[O_from_solvents]]+MainTbl[[#This Row],[O_from_salts]]</f>
        <v>43.263204616067462</v>
      </c>
      <c r="W5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5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4</v>
      </c>
      <c r="Y54">
        <f>MainTbl[[#This Row],[C_from_solvents]]+MainTbl[[#This Row],[C_from_salts]]</f>
        <v>42.526409232134924</v>
      </c>
      <c r="Z5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5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20</v>
      </c>
      <c r="AB54">
        <f>MainTbl[[#This Row],[F_from_solvents]]+MainTbl[[#This Row],[F_from_salts]]</f>
        <v>20</v>
      </c>
      <c r="AC5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5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4">
        <f>MainTbl[[#This Row],[H_from_solvents]]+MainTbl[[#This Row],[H_from_salts]]</f>
        <v>96.316023080337317</v>
      </c>
      <c r="AF5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6</v>
      </c>
      <c r="AH54">
        <f>MainTbl[[#This Row],[Li_from_solvents]]+MainTbl[[#This Row],[Li_from_salts]]</f>
        <v>6</v>
      </c>
      <c r="AI5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226.1056369285397</v>
      </c>
      <c r="AJ54" s="2">
        <f>IFERROR(MainTbl[[#This Row],[O_total]]/MainTbl[[#This Row],[TotalAtoms_all]],0)</f>
        <v>0.1913406724563029</v>
      </c>
      <c r="AK54" s="2">
        <f>IFERROR(MainTbl[[#This Row],[O_from_solvents]]/MainTbl[[#This Row],[TotalAtoms_all]],0)</f>
        <v>8.5195596526218248E-2</v>
      </c>
      <c r="AL54" s="2">
        <f>IFERROR(MainTbl[[#This Row],[O_from_salts]]/MainTbl[[#This Row],[TotalAtoms_all]],0)</f>
        <v>0.10614507593008465</v>
      </c>
      <c r="AM54" s="2">
        <f>IFERROR(MainTbl[[#This Row],[C_total]]/MainTbl[[#This Row],[TotalAtoms_all]],0)</f>
        <v>0.18808203904078394</v>
      </c>
      <c r="AN54" s="2">
        <f>IFERROR(MainTbl[[#This Row],[C_from_solvents]]/MainTbl[[#This Row],[TotalAtoms_all]],0)</f>
        <v>0.1703911930524365</v>
      </c>
      <c r="AO54" s="2">
        <f>IFERROR(MainTbl[[#This Row],[C_from_salts]]/MainTbl[[#This Row],[TotalAtoms_all]],0)</f>
        <v>1.7690845988347442E-2</v>
      </c>
      <c r="AP54" s="2">
        <f>IFERROR(MainTbl[[#This Row],[F_total]]/MainTbl[[#This Row],[TotalAtoms_all]],0)</f>
        <v>8.8454229941737211E-2</v>
      </c>
      <c r="AQ54" s="2">
        <f>IFERROR(MainTbl[[#This Row],[F_from_solvents]]/MainTbl[[#This Row],[TotalAtoms_all]],0)</f>
        <v>0</v>
      </c>
      <c r="AR54" s="2">
        <f>IFERROR(MainTbl[[#This Row],[F_from_salts]]/MainTbl[[#This Row],[TotalAtoms_all]],0)</f>
        <v>8.8454229941737211E-2</v>
      </c>
      <c r="AS54" s="2">
        <f>IFERROR(MainTbl[[#This Row],[F_total]]/MainTbl[[#This Row],[O_total]],0)</f>
        <v>0.46228660538411037</v>
      </c>
      <c r="AT54" s="2">
        <f>IFERROR(MainTbl[[#This Row],[F_total]]/MainTbl[[#This Row],[C_total]],0)</f>
        <v>0.47029599632613878</v>
      </c>
      <c r="AU54" s="2">
        <f>IFERROR(MainTbl[[#This Row],[O_total]]/MainTbl[[#This Row],[C_total]],0)</f>
        <v>1.0173255959587526</v>
      </c>
      <c r="AV54" s="2">
        <f>IFERROR((MainTbl[[#This Row],[TotalAtoms_all]]-(MainTbl[[#This Row],[C_total]]+MainTbl[[#This Row],[H_total]]+MainTbl[[#This Row],[Li_total]]))/MainTbl[[#This Row],[C_total]],0)</f>
        <v>1.9108879889784165</v>
      </c>
      <c r="AW54" t="str">
        <f>IFERROR(VLOOKUP(MainTbl[[#This Row],[salt_1_smiles]],SaltTbl[],MATCH("Salt",SaltTbl[#Headers],0),FALSE),"")</f>
        <v>LiFSI</v>
      </c>
      <c r="AX54" t="str">
        <f>IFERROR(VLOOKUP(MainTbl[[#This Row],[salt_2_smiles]],SaltTbl[],MATCH("Salt",SaltTbl[#Headers],0),FALSE),"")</f>
        <v>LiTFSI</v>
      </c>
      <c r="AY54" t="str">
        <f>IFERROR(VLOOKUP(MainTbl[[#This Row],[solvent_1_smiles]],SolvTbl[],MATCH("Solvent",SolvTbl[#Headers],0),FALSE),"")</f>
        <v>DME (C4H10O2)</v>
      </c>
      <c r="AZ54" t="str">
        <f>IFERROR(VLOOKUP(MainTbl[[#This Row],[solvent_2_smiles]],SolvTbl[],MATCH("Solvent",SolvTbl[#Headers],0),FALSE),"")</f>
        <v/>
      </c>
      <c r="BA54" t="str">
        <f>IFERROR(VLOOKUP(MainTbl[[#This Row],[solvent_3_smiles]],SolvTbl[],MATCH("Solvent",SolvTbl[#Headers],0),FALSE),"")</f>
        <v/>
      </c>
      <c r="BB54">
        <f>--(MainTbl[[#This Row],[solv_1_ratio]]&gt;0)+--(MainTbl[[#This Row],[solv_2_ratio]]&gt;0)+--(MainTbl[[#This Row],[solv_3_ratio]]&gt;0)</f>
        <v>1</v>
      </c>
      <c r="BC54" t="str">
        <f>IF(AND(MainTbl[[#This Row],[SaltName1]]&lt;&gt;"",MainTbl[[#This Row],[salt_1_conc]]&gt;0),TEXT(MainTbl[[#This Row],[salt_1_conc]],"0.###")&amp;" M "&amp;MainTbl[[#This Row],[SaltName1]],"")</f>
        <v>4. M LiFSI</v>
      </c>
      <c r="BD54" t="str">
        <f>IF(AND(MainTbl[[#This Row],[SaltName2]]&lt;&gt;"",MainTbl[[#This Row],[salt_2_conc]]&gt;0),TEXT(MainTbl[[#This Row],[salt_2_conc]],"0.###")&amp;" M "&amp;MainTbl[[#This Row],[SaltName2]],"")</f>
        <v>2. M LiTFSI</v>
      </c>
      <c r="BE5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4. M LiFSI + 2. M LiTFSI</v>
      </c>
      <c r="BF54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54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5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54" t="str">
        <f>TRIM(_xlfn.CONCAT(MainTbl[[#This Row],[Salt_text]]," ",MainTbl[[#This Row],[Solvent_text]]))</f>
        <v>4. M LiFSI + 2. M LiTFSI DME (C4H10O2)</v>
      </c>
    </row>
    <row r="55" spans="1:62" x14ac:dyDescent="0.25">
      <c r="A55" t="s">
        <v>18</v>
      </c>
      <c r="D55" t="s">
        <v>22</v>
      </c>
      <c r="E55" t="s">
        <v>23</v>
      </c>
      <c r="G55">
        <v>1</v>
      </c>
      <c r="H55">
        <v>0</v>
      </c>
      <c r="I55">
        <v>0</v>
      </c>
      <c r="J55">
        <v>4</v>
      </c>
      <c r="K55">
        <v>2</v>
      </c>
      <c r="L55">
        <v>0.93899999999999995</v>
      </c>
      <c r="M55">
        <f t="shared" si="0"/>
        <v>93.899999999999991</v>
      </c>
      <c r="N55">
        <f t="shared" si="1"/>
        <v>1.2146701649892326</v>
      </c>
      <c r="O55">
        <f>IFERROR(MainTbl[[#This Row],[solv_1_ratio]]*VLOOKUP(MainTbl[[#This Row],[solvent_1_smiles]],SolvTbl[],13,FALSE),0)</f>
        <v>9.631602308033731</v>
      </c>
      <c r="P55">
        <f>IFERROR(MainTbl[[#This Row],[solv_2_ratio]]*VLOOKUP(MainTbl[[#This Row],[solvent_2_smiles]],SolvTbl[],13,FALSE),0)</f>
        <v>0</v>
      </c>
      <c r="Q55">
        <f>IFERROR(MainTbl[[#This Row],[solv_3_ratio]]*VLOOKUP(MainTbl[[#This Row],[solvent_3_smiles]],SolvTbl[],13,FALSE),0)</f>
        <v>0</v>
      </c>
      <c r="R55">
        <f>IFERROR(MainTbl[[#This Row],[salt_1_conc]],0)</f>
        <v>4</v>
      </c>
      <c r="S55">
        <f>IFERROR(MainTbl[[#This Row],[salt_2_conc]],0)</f>
        <v>2</v>
      </c>
      <c r="T5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5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24</v>
      </c>
      <c r="V55">
        <f>MainTbl[[#This Row],[O_from_solvents]]+MainTbl[[#This Row],[O_from_salts]]</f>
        <v>43.263204616067462</v>
      </c>
      <c r="W5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5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4</v>
      </c>
      <c r="Y55">
        <f>MainTbl[[#This Row],[C_from_solvents]]+MainTbl[[#This Row],[C_from_salts]]</f>
        <v>42.526409232134924</v>
      </c>
      <c r="Z5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5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20</v>
      </c>
      <c r="AB55">
        <f>MainTbl[[#This Row],[F_from_solvents]]+MainTbl[[#This Row],[F_from_salts]]</f>
        <v>20</v>
      </c>
      <c r="AC5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5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5">
        <f>MainTbl[[#This Row],[H_from_solvents]]+MainTbl[[#This Row],[H_from_salts]]</f>
        <v>96.316023080337317</v>
      </c>
      <c r="AF5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6</v>
      </c>
      <c r="AH55">
        <f>MainTbl[[#This Row],[Li_from_solvents]]+MainTbl[[#This Row],[Li_from_salts]]</f>
        <v>6</v>
      </c>
      <c r="AI5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226.1056369285397</v>
      </c>
      <c r="AJ55" s="2">
        <f>IFERROR(MainTbl[[#This Row],[O_total]]/MainTbl[[#This Row],[TotalAtoms_all]],0)</f>
        <v>0.1913406724563029</v>
      </c>
      <c r="AK55" s="2">
        <f>IFERROR(MainTbl[[#This Row],[O_from_solvents]]/MainTbl[[#This Row],[TotalAtoms_all]],0)</f>
        <v>8.5195596526218248E-2</v>
      </c>
      <c r="AL55" s="2">
        <f>IFERROR(MainTbl[[#This Row],[O_from_salts]]/MainTbl[[#This Row],[TotalAtoms_all]],0)</f>
        <v>0.10614507593008465</v>
      </c>
      <c r="AM55" s="2">
        <f>IFERROR(MainTbl[[#This Row],[C_total]]/MainTbl[[#This Row],[TotalAtoms_all]],0)</f>
        <v>0.18808203904078394</v>
      </c>
      <c r="AN55" s="2">
        <f>IFERROR(MainTbl[[#This Row],[C_from_solvents]]/MainTbl[[#This Row],[TotalAtoms_all]],0)</f>
        <v>0.1703911930524365</v>
      </c>
      <c r="AO55" s="2">
        <f>IFERROR(MainTbl[[#This Row],[C_from_salts]]/MainTbl[[#This Row],[TotalAtoms_all]],0)</f>
        <v>1.7690845988347442E-2</v>
      </c>
      <c r="AP55" s="2">
        <f>IFERROR(MainTbl[[#This Row],[F_total]]/MainTbl[[#This Row],[TotalAtoms_all]],0)</f>
        <v>8.8454229941737211E-2</v>
      </c>
      <c r="AQ55" s="2">
        <f>IFERROR(MainTbl[[#This Row],[F_from_solvents]]/MainTbl[[#This Row],[TotalAtoms_all]],0)</f>
        <v>0</v>
      </c>
      <c r="AR55" s="2">
        <f>IFERROR(MainTbl[[#This Row],[F_from_salts]]/MainTbl[[#This Row],[TotalAtoms_all]],0)</f>
        <v>8.8454229941737211E-2</v>
      </c>
      <c r="AS55" s="2">
        <f>IFERROR(MainTbl[[#This Row],[F_total]]/MainTbl[[#This Row],[O_total]],0)</f>
        <v>0.46228660538411037</v>
      </c>
      <c r="AT55" s="2">
        <f>IFERROR(MainTbl[[#This Row],[F_total]]/MainTbl[[#This Row],[C_total]],0)</f>
        <v>0.47029599632613878</v>
      </c>
      <c r="AU55" s="2">
        <f>IFERROR(MainTbl[[#This Row],[O_total]]/MainTbl[[#This Row],[C_total]],0)</f>
        <v>1.0173255959587526</v>
      </c>
      <c r="AV55" s="2">
        <f>IFERROR((MainTbl[[#This Row],[TotalAtoms_all]]-(MainTbl[[#This Row],[C_total]]+MainTbl[[#This Row],[H_total]]+MainTbl[[#This Row],[Li_total]]))/MainTbl[[#This Row],[C_total]],0)</f>
        <v>1.9108879889784165</v>
      </c>
      <c r="AW55" t="str">
        <f>IFERROR(VLOOKUP(MainTbl[[#This Row],[salt_1_smiles]],SaltTbl[],MATCH("Salt",SaltTbl[#Headers],0),FALSE),"")</f>
        <v>LiFSI</v>
      </c>
      <c r="AX55" t="str">
        <f>IFERROR(VLOOKUP(MainTbl[[#This Row],[salt_2_smiles]],SaltTbl[],MATCH("Salt",SaltTbl[#Headers],0),FALSE),"")</f>
        <v>LiTFSI</v>
      </c>
      <c r="AY55" t="str">
        <f>IFERROR(VLOOKUP(MainTbl[[#This Row],[solvent_1_smiles]],SolvTbl[],MATCH("Solvent",SolvTbl[#Headers],0),FALSE),"")</f>
        <v>DME (C4H10O2)</v>
      </c>
      <c r="AZ55" t="str">
        <f>IFERROR(VLOOKUP(MainTbl[[#This Row],[solvent_2_smiles]],SolvTbl[],MATCH("Solvent",SolvTbl[#Headers],0),FALSE),"")</f>
        <v/>
      </c>
      <c r="BA55" t="str">
        <f>IFERROR(VLOOKUP(MainTbl[[#This Row],[solvent_3_smiles]],SolvTbl[],MATCH("Solvent",SolvTbl[#Headers],0),FALSE),"")</f>
        <v/>
      </c>
      <c r="BB55">
        <f>--(MainTbl[[#This Row],[solv_1_ratio]]&gt;0)+--(MainTbl[[#This Row],[solv_2_ratio]]&gt;0)+--(MainTbl[[#This Row],[solv_3_ratio]]&gt;0)</f>
        <v>1</v>
      </c>
      <c r="BC55" t="str">
        <f>IF(AND(MainTbl[[#This Row],[SaltName1]]&lt;&gt;"",MainTbl[[#This Row],[salt_1_conc]]&gt;0),TEXT(MainTbl[[#This Row],[salt_1_conc]],"0.###")&amp;" M "&amp;MainTbl[[#This Row],[SaltName1]],"")</f>
        <v>4. M LiFSI</v>
      </c>
      <c r="BD55" t="str">
        <f>IF(AND(MainTbl[[#This Row],[SaltName2]]&lt;&gt;"",MainTbl[[#This Row],[salt_2_conc]]&gt;0),TEXT(MainTbl[[#This Row],[salt_2_conc]],"0.###")&amp;" M "&amp;MainTbl[[#This Row],[SaltName2]],"")</f>
        <v>2. M LiTFSI</v>
      </c>
      <c r="BE5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4. M LiFSI + 2. M LiTFSI</v>
      </c>
      <c r="BF55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55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5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55" t="str">
        <f>TRIM(_xlfn.CONCAT(MainTbl[[#This Row],[Salt_text]]," ",MainTbl[[#This Row],[Solvent_text]]))</f>
        <v>4. M LiFSI + 2. M LiTFSI DME (C4H10O2)</v>
      </c>
    </row>
    <row r="56" spans="1:62" x14ac:dyDescent="0.25">
      <c r="A56" t="s">
        <v>18</v>
      </c>
      <c r="D56" t="s">
        <v>22</v>
      </c>
      <c r="E56" t="s">
        <v>23</v>
      </c>
      <c r="G56">
        <v>1</v>
      </c>
      <c r="H56">
        <v>0</v>
      </c>
      <c r="I56">
        <v>0</v>
      </c>
      <c r="J56">
        <v>4</v>
      </c>
      <c r="K56">
        <v>2</v>
      </c>
      <c r="L56">
        <v>0.95399999999999996</v>
      </c>
      <c r="M56">
        <f t="shared" si="0"/>
        <v>95.399999999999991</v>
      </c>
      <c r="N56">
        <f t="shared" si="1"/>
        <v>1.3372421683184255</v>
      </c>
      <c r="O56">
        <f>IFERROR(MainTbl[[#This Row],[solv_1_ratio]]*VLOOKUP(MainTbl[[#This Row],[solvent_1_smiles]],SolvTbl[],13,FALSE),0)</f>
        <v>9.631602308033731</v>
      </c>
      <c r="P56">
        <f>IFERROR(MainTbl[[#This Row],[solv_2_ratio]]*VLOOKUP(MainTbl[[#This Row],[solvent_2_smiles]],SolvTbl[],13,FALSE),0)</f>
        <v>0</v>
      </c>
      <c r="Q56">
        <f>IFERROR(MainTbl[[#This Row],[solv_3_ratio]]*VLOOKUP(MainTbl[[#This Row],[solvent_3_smiles]],SolvTbl[],13,FALSE),0)</f>
        <v>0</v>
      </c>
      <c r="R56">
        <f>IFERROR(MainTbl[[#This Row],[salt_1_conc]],0)</f>
        <v>4</v>
      </c>
      <c r="S56">
        <f>IFERROR(MainTbl[[#This Row],[salt_2_conc]],0)</f>
        <v>2</v>
      </c>
      <c r="T5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5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24</v>
      </c>
      <c r="V56">
        <f>MainTbl[[#This Row],[O_from_solvents]]+MainTbl[[#This Row],[O_from_salts]]</f>
        <v>43.263204616067462</v>
      </c>
      <c r="W5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5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4</v>
      </c>
      <c r="Y56">
        <f>MainTbl[[#This Row],[C_from_solvents]]+MainTbl[[#This Row],[C_from_salts]]</f>
        <v>42.526409232134924</v>
      </c>
      <c r="Z5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5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20</v>
      </c>
      <c r="AB56">
        <f>MainTbl[[#This Row],[F_from_solvents]]+MainTbl[[#This Row],[F_from_salts]]</f>
        <v>20</v>
      </c>
      <c r="AC5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5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6">
        <f>MainTbl[[#This Row],[H_from_solvents]]+MainTbl[[#This Row],[H_from_salts]]</f>
        <v>96.316023080337317</v>
      </c>
      <c r="AF5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6</v>
      </c>
      <c r="AH56">
        <f>MainTbl[[#This Row],[Li_from_solvents]]+MainTbl[[#This Row],[Li_from_salts]]</f>
        <v>6</v>
      </c>
      <c r="AI5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226.1056369285397</v>
      </c>
      <c r="AJ56" s="2">
        <f>IFERROR(MainTbl[[#This Row],[O_total]]/MainTbl[[#This Row],[TotalAtoms_all]],0)</f>
        <v>0.1913406724563029</v>
      </c>
      <c r="AK56" s="2">
        <f>IFERROR(MainTbl[[#This Row],[O_from_solvents]]/MainTbl[[#This Row],[TotalAtoms_all]],0)</f>
        <v>8.5195596526218248E-2</v>
      </c>
      <c r="AL56" s="2">
        <f>IFERROR(MainTbl[[#This Row],[O_from_salts]]/MainTbl[[#This Row],[TotalAtoms_all]],0)</f>
        <v>0.10614507593008465</v>
      </c>
      <c r="AM56" s="2">
        <f>IFERROR(MainTbl[[#This Row],[C_total]]/MainTbl[[#This Row],[TotalAtoms_all]],0)</f>
        <v>0.18808203904078394</v>
      </c>
      <c r="AN56" s="2">
        <f>IFERROR(MainTbl[[#This Row],[C_from_solvents]]/MainTbl[[#This Row],[TotalAtoms_all]],0)</f>
        <v>0.1703911930524365</v>
      </c>
      <c r="AO56" s="2">
        <f>IFERROR(MainTbl[[#This Row],[C_from_salts]]/MainTbl[[#This Row],[TotalAtoms_all]],0)</f>
        <v>1.7690845988347442E-2</v>
      </c>
      <c r="AP56" s="2">
        <f>IFERROR(MainTbl[[#This Row],[F_total]]/MainTbl[[#This Row],[TotalAtoms_all]],0)</f>
        <v>8.8454229941737211E-2</v>
      </c>
      <c r="AQ56" s="2">
        <f>IFERROR(MainTbl[[#This Row],[F_from_solvents]]/MainTbl[[#This Row],[TotalAtoms_all]],0)</f>
        <v>0</v>
      </c>
      <c r="AR56" s="2">
        <f>IFERROR(MainTbl[[#This Row],[F_from_salts]]/MainTbl[[#This Row],[TotalAtoms_all]],0)</f>
        <v>8.8454229941737211E-2</v>
      </c>
      <c r="AS56" s="2">
        <f>IFERROR(MainTbl[[#This Row],[F_total]]/MainTbl[[#This Row],[O_total]],0)</f>
        <v>0.46228660538411037</v>
      </c>
      <c r="AT56" s="2">
        <f>IFERROR(MainTbl[[#This Row],[F_total]]/MainTbl[[#This Row],[C_total]],0)</f>
        <v>0.47029599632613878</v>
      </c>
      <c r="AU56" s="2">
        <f>IFERROR(MainTbl[[#This Row],[O_total]]/MainTbl[[#This Row],[C_total]],0)</f>
        <v>1.0173255959587526</v>
      </c>
      <c r="AV56" s="2">
        <f>IFERROR((MainTbl[[#This Row],[TotalAtoms_all]]-(MainTbl[[#This Row],[C_total]]+MainTbl[[#This Row],[H_total]]+MainTbl[[#This Row],[Li_total]]))/MainTbl[[#This Row],[C_total]],0)</f>
        <v>1.9108879889784165</v>
      </c>
      <c r="AW56" t="str">
        <f>IFERROR(VLOOKUP(MainTbl[[#This Row],[salt_1_smiles]],SaltTbl[],MATCH("Salt",SaltTbl[#Headers],0),FALSE),"")</f>
        <v>LiFSI</v>
      </c>
      <c r="AX56" t="str">
        <f>IFERROR(VLOOKUP(MainTbl[[#This Row],[salt_2_smiles]],SaltTbl[],MATCH("Salt",SaltTbl[#Headers],0),FALSE),"")</f>
        <v>LiTFSI</v>
      </c>
      <c r="AY56" t="str">
        <f>IFERROR(VLOOKUP(MainTbl[[#This Row],[solvent_1_smiles]],SolvTbl[],MATCH("Solvent",SolvTbl[#Headers],0),FALSE),"")</f>
        <v>DME (C4H10O2)</v>
      </c>
      <c r="AZ56" t="str">
        <f>IFERROR(VLOOKUP(MainTbl[[#This Row],[solvent_2_smiles]],SolvTbl[],MATCH("Solvent",SolvTbl[#Headers],0),FALSE),"")</f>
        <v/>
      </c>
      <c r="BA56" t="str">
        <f>IFERROR(VLOOKUP(MainTbl[[#This Row],[solvent_3_smiles]],SolvTbl[],MATCH("Solvent",SolvTbl[#Headers],0),FALSE),"")</f>
        <v/>
      </c>
      <c r="BB56">
        <f>--(MainTbl[[#This Row],[solv_1_ratio]]&gt;0)+--(MainTbl[[#This Row],[solv_2_ratio]]&gt;0)+--(MainTbl[[#This Row],[solv_3_ratio]]&gt;0)</f>
        <v>1</v>
      </c>
      <c r="BC56" t="str">
        <f>IF(AND(MainTbl[[#This Row],[SaltName1]]&lt;&gt;"",MainTbl[[#This Row],[salt_1_conc]]&gt;0),TEXT(MainTbl[[#This Row],[salt_1_conc]],"0.###")&amp;" M "&amp;MainTbl[[#This Row],[SaltName1]],"")</f>
        <v>4. M LiFSI</v>
      </c>
      <c r="BD56" t="str">
        <f>IF(AND(MainTbl[[#This Row],[SaltName2]]&lt;&gt;"",MainTbl[[#This Row],[salt_2_conc]]&gt;0),TEXT(MainTbl[[#This Row],[salt_2_conc]],"0.###")&amp;" M "&amp;MainTbl[[#This Row],[SaltName2]],"")</f>
        <v>2. M LiTFSI</v>
      </c>
      <c r="BE5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4. M LiFSI + 2. M LiTFSI</v>
      </c>
      <c r="BF56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56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5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56" t="str">
        <f>TRIM(_xlfn.CONCAT(MainTbl[[#This Row],[Salt_text]]," ",MainTbl[[#This Row],[Solvent_text]]))</f>
        <v>4. M LiFSI + 2. M LiTFSI DME (C4H10O2)</v>
      </c>
    </row>
    <row r="57" spans="1:62" x14ac:dyDescent="0.25">
      <c r="A57" t="s">
        <v>18</v>
      </c>
      <c r="D57" t="s">
        <v>22</v>
      </c>
      <c r="E57" t="s">
        <v>23</v>
      </c>
      <c r="G57">
        <v>1</v>
      </c>
      <c r="H57">
        <v>0</v>
      </c>
      <c r="I57">
        <v>0</v>
      </c>
      <c r="J57">
        <v>4.5999999999999996</v>
      </c>
      <c r="K57">
        <v>2.2999999999999998</v>
      </c>
      <c r="L57">
        <v>0.97899999999999998</v>
      </c>
      <c r="M57">
        <f t="shared" si="0"/>
        <v>97.899999999999991</v>
      </c>
      <c r="N57">
        <f t="shared" si="1"/>
        <v>1.6777807052660803</v>
      </c>
      <c r="O57">
        <f>IFERROR(MainTbl[[#This Row],[solv_1_ratio]]*VLOOKUP(MainTbl[[#This Row],[solvent_1_smiles]],SolvTbl[],13,FALSE),0)</f>
        <v>9.631602308033731</v>
      </c>
      <c r="P57">
        <f>IFERROR(MainTbl[[#This Row],[solv_2_ratio]]*VLOOKUP(MainTbl[[#This Row],[solvent_2_smiles]],SolvTbl[],13,FALSE),0)</f>
        <v>0</v>
      </c>
      <c r="Q57">
        <f>IFERROR(MainTbl[[#This Row],[solv_3_ratio]]*VLOOKUP(MainTbl[[#This Row],[solvent_3_smiles]],SolvTbl[],13,FALSE),0)</f>
        <v>0</v>
      </c>
      <c r="R57">
        <f>IFERROR(MainTbl[[#This Row],[salt_1_conc]],0)</f>
        <v>4.5999999999999996</v>
      </c>
      <c r="S57">
        <f>IFERROR(MainTbl[[#This Row],[salt_2_conc]],0)</f>
        <v>2.2999999999999998</v>
      </c>
      <c r="T5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5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27.599999999999998</v>
      </c>
      <c r="V57">
        <f>MainTbl[[#This Row],[O_from_solvents]]+MainTbl[[#This Row],[O_from_salts]]</f>
        <v>46.863204616067463</v>
      </c>
      <c r="W5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5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4.5999999999999996</v>
      </c>
      <c r="Y57">
        <f>MainTbl[[#This Row],[C_from_solvents]]+MainTbl[[#This Row],[C_from_salts]]</f>
        <v>43.126409232134925</v>
      </c>
      <c r="Z5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5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23</v>
      </c>
      <c r="AB57">
        <f>MainTbl[[#This Row],[F_from_solvents]]+MainTbl[[#This Row],[F_from_salts]]</f>
        <v>23</v>
      </c>
      <c r="AC5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5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7">
        <f>MainTbl[[#This Row],[H_from_solvents]]+MainTbl[[#This Row],[H_from_salts]]</f>
        <v>96.316023080337317</v>
      </c>
      <c r="AF5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6.8999999999999995</v>
      </c>
      <c r="AH57">
        <f>MainTbl[[#This Row],[Li_from_solvents]]+MainTbl[[#This Row],[Li_from_salts]]</f>
        <v>6.8999999999999995</v>
      </c>
      <c r="AI5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236.90563692853971</v>
      </c>
      <c r="AJ57" s="2">
        <f>IFERROR(MainTbl[[#This Row],[O_total]]/MainTbl[[#This Row],[TotalAtoms_all]],0)</f>
        <v>0.19781380140905341</v>
      </c>
      <c r="AK57" s="2">
        <f>IFERROR(MainTbl[[#This Row],[O_from_solvents]]/MainTbl[[#This Row],[TotalAtoms_all]],0)</f>
        <v>8.1311719154567946E-2</v>
      </c>
      <c r="AL57" s="2">
        <f>IFERROR(MainTbl[[#This Row],[O_from_salts]]/MainTbl[[#This Row],[TotalAtoms_all]],0)</f>
        <v>0.11650208225448545</v>
      </c>
      <c r="AM57" s="2">
        <f>IFERROR(MainTbl[[#This Row],[C_total]]/MainTbl[[#This Row],[TotalAtoms_all]],0)</f>
        <v>0.18204045201821681</v>
      </c>
      <c r="AN57" s="2">
        <f>IFERROR(MainTbl[[#This Row],[C_from_solvents]]/MainTbl[[#This Row],[TotalAtoms_all]],0)</f>
        <v>0.16262343830913589</v>
      </c>
      <c r="AO57" s="2">
        <f>IFERROR(MainTbl[[#This Row],[C_from_salts]]/MainTbl[[#This Row],[TotalAtoms_all]],0)</f>
        <v>1.9417013709080909E-2</v>
      </c>
      <c r="AP57" s="2">
        <f>IFERROR(MainTbl[[#This Row],[F_total]]/MainTbl[[#This Row],[TotalAtoms_all]],0)</f>
        <v>9.7085068545404551E-2</v>
      </c>
      <c r="AQ57" s="2">
        <f>IFERROR(MainTbl[[#This Row],[F_from_solvents]]/MainTbl[[#This Row],[TotalAtoms_all]],0)</f>
        <v>0</v>
      </c>
      <c r="AR57" s="2">
        <f>IFERROR(MainTbl[[#This Row],[F_from_salts]]/MainTbl[[#This Row],[TotalAtoms_all]],0)</f>
        <v>9.7085068545404551E-2</v>
      </c>
      <c r="AS57" s="2">
        <f>IFERROR(MainTbl[[#This Row],[F_total]]/MainTbl[[#This Row],[O_total]],0)</f>
        <v>0.49079016658016272</v>
      </c>
      <c r="AT57" s="2">
        <f>IFERROR(MainTbl[[#This Row],[F_total]]/MainTbl[[#This Row],[C_total]],0)</f>
        <v>0.53331590571797327</v>
      </c>
      <c r="AU57" s="2">
        <f>IFERROR(MainTbl[[#This Row],[O_total]]/MainTbl[[#This Row],[C_total]],0)</f>
        <v>1.0866474962897705</v>
      </c>
      <c r="AV57" s="2">
        <f>IFERROR((MainTbl[[#This Row],[TotalAtoms_all]]-(MainTbl[[#This Row],[C_total]]+MainTbl[[#This Row],[H_total]]+MainTbl[[#This Row],[Li_total]]))/MainTbl[[#This Row],[C_total]],0)</f>
        <v>2.0999477171539196</v>
      </c>
      <c r="AW57" t="str">
        <f>IFERROR(VLOOKUP(MainTbl[[#This Row],[salt_1_smiles]],SaltTbl[],MATCH("Salt",SaltTbl[#Headers],0),FALSE),"")</f>
        <v>LiFSI</v>
      </c>
      <c r="AX57" t="str">
        <f>IFERROR(VLOOKUP(MainTbl[[#This Row],[salt_2_smiles]],SaltTbl[],MATCH("Salt",SaltTbl[#Headers],0),FALSE),"")</f>
        <v>LiTFSI</v>
      </c>
      <c r="AY57" t="str">
        <f>IFERROR(VLOOKUP(MainTbl[[#This Row],[solvent_1_smiles]],SolvTbl[],MATCH("Solvent",SolvTbl[#Headers],0),FALSE),"")</f>
        <v>DME (C4H10O2)</v>
      </c>
      <c r="AZ57" t="str">
        <f>IFERROR(VLOOKUP(MainTbl[[#This Row],[solvent_2_smiles]],SolvTbl[],MATCH("Solvent",SolvTbl[#Headers],0),FALSE),"")</f>
        <v/>
      </c>
      <c r="BA57" t="str">
        <f>IFERROR(VLOOKUP(MainTbl[[#This Row],[solvent_3_smiles]],SolvTbl[],MATCH("Solvent",SolvTbl[#Headers],0),FALSE),"")</f>
        <v/>
      </c>
      <c r="BB57">
        <f>--(MainTbl[[#This Row],[solv_1_ratio]]&gt;0)+--(MainTbl[[#This Row],[solv_2_ratio]]&gt;0)+--(MainTbl[[#This Row],[solv_3_ratio]]&gt;0)</f>
        <v>1</v>
      </c>
      <c r="BC57" t="str">
        <f>IF(AND(MainTbl[[#This Row],[SaltName1]]&lt;&gt;"",MainTbl[[#This Row],[salt_1_conc]]&gt;0),TEXT(MainTbl[[#This Row],[salt_1_conc]],"0.###")&amp;" M "&amp;MainTbl[[#This Row],[SaltName1]],"")</f>
        <v>4.6 M LiFSI</v>
      </c>
      <c r="BD57" t="str">
        <f>IF(AND(MainTbl[[#This Row],[SaltName2]]&lt;&gt;"",MainTbl[[#This Row],[salt_2_conc]]&gt;0),TEXT(MainTbl[[#This Row],[salt_2_conc]],"0.###")&amp;" M "&amp;MainTbl[[#This Row],[SaltName2]],"")</f>
        <v>2.3 M LiTFSI</v>
      </c>
      <c r="BE5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4.6 M LiFSI + 2.3 M LiTFSI</v>
      </c>
      <c r="BF57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57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5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57" t="str">
        <f>TRIM(_xlfn.CONCAT(MainTbl[[#This Row],[Salt_text]]," ",MainTbl[[#This Row],[Solvent_text]]))</f>
        <v>4.6 M LiFSI + 2.3 M LiTFSI DME (C4H10O2)</v>
      </c>
    </row>
    <row r="58" spans="1:62" x14ac:dyDescent="0.25">
      <c r="A58" t="s">
        <v>19</v>
      </c>
      <c r="B58" t="s">
        <v>28</v>
      </c>
      <c r="D58" t="s">
        <v>22</v>
      </c>
      <c r="G58">
        <v>0.41666666699999999</v>
      </c>
      <c r="H58">
        <v>0.58333333300000001</v>
      </c>
      <c r="I58">
        <v>0</v>
      </c>
      <c r="J58">
        <v>1</v>
      </c>
      <c r="K58">
        <v>0</v>
      </c>
      <c r="L58">
        <v>0.87</v>
      </c>
      <c r="M58">
        <f t="shared" si="0"/>
        <v>87</v>
      </c>
      <c r="N58">
        <f t="shared" si="1"/>
        <v>0.88605664769316317</v>
      </c>
      <c r="O58">
        <f>IFERROR(MainTbl[[#This Row],[solv_1_ratio]]*VLOOKUP(MainTbl[[#This Row],[solvent_1_smiles]],SolvTbl[],13,FALSE),0)</f>
        <v>6.245599696123187</v>
      </c>
      <c r="P58">
        <f>IFERROR(MainTbl[[#This Row],[solv_2_ratio]]*VLOOKUP(MainTbl[[#This Row],[solvent_2_smiles]],SolvTbl[],13,FALSE),0)</f>
        <v>4.8146110190044871</v>
      </c>
      <c r="Q58">
        <f>IFERROR(MainTbl[[#This Row],[solv_3_ratio]]*VLOOKUP(MainTbl[[#This Row],[solvent_3_smiles]],SolvTbl[],13,FALSE),0)</f>
        <v>0</v>
      </c>
      <c r="R58">
        <f>IFERROR(MainTbl[[#This Row],[salt_1_conc]],0)</f>
        <v>1</v>
      </c>
      <c r="S58">
        <f>IFERROR(MainTbl[[#This Row],[salt_2_conc]],0)</f>
        <v>0</v>
      </c>
      <c r="T5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33.180632145383022</v>
      </c>
      <c r="U5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58">
        <f>MainTbl[[#This Row],[O_from_solvents]]+MainTbl[[#This Row],[O_from_salts]]</f>
        <v>37.180632145383022</v>
      </c>
      <c r="W5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42.809854183391998</v>
      </c>
      <c r="X5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58">
        <f>MainTbl[[#This Row],[C_from_solvents]]+MainTbl[[#This Row],[C_from_salts]]</f>
        <v>42.809854183391998</v>
      </c>
      <c r="Z5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5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58">
        <f>MainTbl[[#This Row],[F_from_solvents]]+MainTbl[[#This Row],[F_from_salts]]</f>
        <v>2</v>
      </c>
      <c r="AC5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73.128508974537624</v>
      </c>
      <c r="AD5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8">
        <f>MainTbl[[#This Row],[H_from_solvents]]+MainTbl[[#This Row],[H_from_salts]]</f>
        <v>73.128508974537624</v>
      </c>
      <c r="AF5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58">
        <f>MainTbl[[#This Row],[Li_from_solvents]]+MainTbl[[#This Row],[Li_from_salts]]</f>
        <v>1</v>
      </c>
      <c r="AI5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159.11899530331263</v>
      </c>
      <c r="AJ58" s="2">
        <f>IFERROR(MainTbl[[#This Row],[O_total]]/MainTbl[[#This Row],[TotalAtoms_all]],0)</f>
        <v>0.23366557886133771</v>
      </c>
      <c r="AK58" s="2">
        <f>IFERROR(MainTbl[[#This Row],[O_from_solvents]]/MainTbl[[#This Row],[TotalAtoms_all]],0)</f>
        <v>0.2085271597029261</v>
      </c>
      <c r="AL58" s="2">
        <f>IFERROR(MainTbl[[#This Row],[O_from_salts]]/MainTbl[[#This Row],[TotalAtoms_all]],0)</f>
        <v>2.5138419158411602E-2</v>
      </c>
      <c r="AM58" s="2">
        <f>IFERROR(MainTbl[[#This Row],[C_total]]/MainTbl[[#This Row],[TotalAtoms_all]],0)</f>
        <v>0.26904301464314712</v>
      </c>
      <c r="AN58" s="2">
        <f>IFERROR(MainTbl[[#This Row],[C_from_solvents]]/MainTbl[[#This Row],[TotalAtoms_all]],0)</f>
        <v>0.26904301464314712</v>
      </c>
      <c r="AO58" s="2">
        <f>IFERROR(MainTbl[[#This Row],[C_from_salts]]/MainTbl[[#This Row],[TotalAtoms_all]],0)</f>
        <v>0</v>
      </c>
      <c r="AP58" s="2">
        <f>IFERROR(MainTbl[[#This Row],[F_total]]/MainTbl[[#This Row],[TotalAtoms_all]],0)</f>
        <v>1.2569209579205801E-2</v>
      </c>
      <c r="AQ58" s="2">
        <f>IFERROR(MainTbl[[#This Row],[F_from_solvents]]/MainTbl[[#This Row],[TotalAtoms_all]],0)</f>
        <v>0</v>
      </c>
      <c r="AR58" s="2">
        <f>IFERROR(MainTbl[[#This Row],[F_from_salts]]/MainTbl[[#This Row],[TotalAtoms_all]],0)</f>
        <v>1.2569209579205801E-2</v>
      </c>
      <c r="AS58" s="2">
        <f>IFERROR(MainTbl[[#This Row],[F_total]]/MainTbl[[#This Row],[O_total]],0)</f>
        <v>5.3791446906540932E-2</v>
      </c>
      <c r="AT58" s="2">
        <f>IFERROR(MainTbl[[#This Row],[F_total]]/MainTbl[[#This Row],[C_total]],0)</f>
        <v>4.6718215657363678E-2</v>
      </c>
      <c r="AU58" s="2">
        <f>IFERROR(MainTbl[[#This Row],[O_total]]/MainTbl[[#This Row],[C_total]],0)</f>
        <v>0.86850639542255614</v>
      </c>
      <c r="AV58" s="2">
        <f>IFERROR((MainTbl[[#This Row],[TotalAtoms_all]]-(MainTbl[[#This Row],[C_total]]+MainTbl[[#This Row],[H_total]]+MainTbl[[#This Row],[Li_total]]))/MainTbl[[#This Row],[C_total]],0)</f>
        <v>0.98530193456596527</v>
      </c>
      <c r="AW58" t="str">
        <f>IFERROR(VLOOKUP(MainTbl[[#This Row],[salt_1_smiles]],SaltTbl[],MATCH("Salt",SaltTbl[#Headers],0),FALSE),"")</f>
        <v>LiFSI</v>
      </c>
      <c r="AX58" t="str">
        <f>IFERROR(VLOOKUP(MainTbl[[#This Row],[salt_2_smiles]],SaltTbl[],MATCH("Salt",SaltTbl[#Headers],0),FALSE),"")</f>
        <v/>
      </c>
      <c r="AY58" t="str">
        <f>IFERROR(VLOOKUP(MainTbl[[#This Row],[solvent_1_smiles]],SolvTbl[],MATCH("Solvent",SolvTbl[#Headers],0),FALSE),"")</f>
        <v>Ethylene carbonate</v>
      </c>
      <c r="AZ58" t="str">
        <f>IFERROR(VLOOKUP(MainTbl[[#This Row],[solvent_2_smiles]],SolvTbl[],MATCH("Solvent",SolvTbl[#Headers],0),FALSE),"")</f>
        <v>Diethyl Carbonate</v>
      </c>
      <c r="BA58" t="str">
        <f>IFERROR(VLOOKUP(MainTbl[[#This Row],[solvent_3_smiles]],SolvTbl[],MATCH("Solvent",SolvTbl[#Headers],0),FALSE),"")</f>
        <v/>
      </c>
      <c r="BB58">
        <f>--(MainTbl[[#This Row],[solv_1_ratio]]&gt;0)+--(MainTbl[[#This Row],[solv_2_ratio]]&gt;0)+--(MainTbl[[#This Row],[solv_3_ratio]]&gt;0)</f>
        <v>2</v>
      </c>
      <c r="BC58" t="str">
        <f>IF(AND(MainTbl[[#This Row],[SaltName1]]&lt;&gt;"",MainTbl[[#This Row],[salt_1_conc]]&gt;0),TEXT(MainTbl[[#This Row],[salt_1_conc]],"0.###")&amp;" M "&amp;MainTbl[[#This Row],[SaltName1]],"")</f>
        <v>1. M LiFSI</v>
      </c>
      <c r="BD58" t="str">
        <f>IF(AND(MainTbl[[#This Row],[SaltName2]]&lt;&gt;"",MainTbl[[#This Row],[salt_2_conc]]&gt;0),TEXT(MainTbl[[#This Row],[salt_2_conc]],"0.###")&amp;" M "&amp;MainTbl[[#This Row],[SaltName2]],"")</f>
        <v/>
      </c>
      <c r="BE5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58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41.67%</v>
      </c>
      <c r="BG58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58.33%</v>
      </c>
      <c r="BH5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41.67% + Diethyl Carbonate 58.33%</v>
      </c>
      <c r="BJ58" t="str">
        <f>TRIM(_xlfn.CONCAT(MainTbl[[#This Row],[Salt_text]]," ",MainTbl[[#This Row],[Solvent_text]]))</f>
        <v>1. M LiFSI Ethylene carbonate 41.67% + Diethyl Carbonate 58.33%</v>
      </c>
    </row>
    <row r="59" spans="1:62" x14ac:dyDescent="0.25">
      <c r="A59" t="s">
        <v>44</v>
      </c>
      <c r="D59" t="s">
        <v>22</v>
      </c>
      <c r="G59">
        <v>1</v>
      </c>
      <c r="H59">
        <v>0</v>
      </c>
      <c r="I59">
        <v>0</v>
      </c>
      <c r="J59">
        <v>1</v>
      </c>
      <c r="K59">
        <v>0</v>
      </c>
      <c r="L59">
        <v>0.95</v>
      </c>
      <c r="M59">
        <f t="shared" si="0"/>
        <v>95</v>
      </c>
      <c r="N59">
        <f t="shared" si="1"/>
        <v>1.3010299956639808</v>
      </c>
      <c r="O59">
        <f>IFERROR(MainTbl[[#This Row],[solv_1_ratio]]*VLOOKUP(MainTbl[[#This Row],[solvent_1_smiles]],SolvTbl[],13,FALSE),0)</f>
        <v>2.6085141903171953</v>
      </c>
      <c r="P59">
        <f>IFERROR(MainTbl[[#This Row],[solv_2_ratio]]*VLOOKUP(MainTbl[[#This Row],[solvent_2_smiles]],SolvTbl[],13,FALSE),0)</f>
        <v>0</v>
      </c>
      <c r="Q59">
        <f>IFERROR(MainTbl[[#This Row],[solv_3_ratio]]*VLOOKUP(MainTbl[[#This Row],[solvent_3_smiles]],SolvTbl[],13,FALSE),0)</f>
        <v>0</v>
      </c>
      <c r="R59">
        <f>IFERROR(MainTbl[[#This Row],[salt_1_conc]],0)</f>
        <v>1</v>
      </c>
      <c r="S59">
        <f>IFERROR(MainTbl[[#This Row],[salt_2_conc]],0)</f>
        <v>0</v>
      </c>
      <c r="T5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20.868113522537563</v>
      </c>
      <c r="U5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59">
        <f>MainTbl[[#This Row],[O_from_solvents]]+MainTbl[[#This Row],[O_from_salts]]</f>
        <v>24.868113522537563</v>
      </c>
      <c r="W5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41.736227045075125</v>
      </c>
      <c r="X5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59">
        <f>MainTbl[[#This Row],[C_from_solvents]]+MainTbl[[#This Row],[C_from_salts]]</f>
        <v>41.736227045075125</v>
      </c>
      <c r="Z5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20.868113522537563</v>
      </c>
      <c r="AA5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59">
        <f>MainTbl[[#This Row],[F_from_solvents]]+MainTbl[[#This Row],[F_from_salts]]</f>
        <v>22.868113522537563</v>
      </c>
      <c r="AC5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67.821368948247084</v>
      </c>
      <c r="AD5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59">
        <f>MainTbl[[#This Row],[H_from_solvents]]+MainTbl[[#This Row],[H_from_salts]]</f>
        <v>67.821368948247084</v>
      </c>
      <c r="AF5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5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59">
        <f>MainTbl[[#This Row],[Li_from_solvents]]+MainTbl[[#This Row],[Li_from_salts]]</f>
        <v>1</v>
      </c>
      <c r="AI5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161.29382303839733</v>
      </c>
      <c r="AJ59" s="2">
        <f>IFERROR(MainTbl[[#This Row],[O_total]]/MainTbl[[#This Row],[TotalAtoms_all]],0)</f>
        <v>0.15417895771878073</v>
      </c>
      <c r="AK59" s="2">
        <f>IFERROR(MainTbl[[#This Row],[O_from_solvents]]/MainTbl[[#This Row],[TotalAtoms_all]],0)</f>
        <v>0.12937949593748382</v>
      </c>
      <c r="AL59" s="2">
        <f>IFERROR(MainTbl[[#This Row],[O_from_salts]]/MainTbl[[#This Row],[TotalAtoms_all]],0)</f>
        <v>2.4799461781296901E-2</v>
      </c>
      <c r="AM59" s="2">
        <f>IFERROR(MainTbl[[#This Row],[C_total]]/MainTbl[[#This Row],[TotalAtoms_all]],0)</f>
        <v>0.25875899187496765</v>
      </c>
      <c r="AN59" s="2">
        <f>IFERROR(MainTbl[[#This Row],[C_from_solvents]]/MainTbl[[#This Row],[TotalAtoms_all]],0)</f>
        <v>0.25875899187496765</v>
      </c>
      <c r="AO59" s="2">
        <f>IFERROR(MainTbl[[#This Row],[C_from_salts]]/MainTbl[[#This Row],[TotalAtoms_all]],0)</f>
        <v>0</v>
      </c>
      <c r="AP59" s="2">
        <f>IFERROR(MainTbl[[#This Row],[F_total]]/MainTbl[[#This Row],[TotalAtoms_all]],0)</f>
        <v>0.14177922682813227</v>
      </c>
      <c r="AQ59" s="2">
        <f>IFERROR(MainTbl[[#This Row],[F_from_solvents]]/MainTbl[[#This Row],[TotalAtoms_all]],0)</f>
        <v>0.12937949593748382</v>
      </c>
      <c r="AR59" s="2">
        <f>IFERROR(MainTbl[[#This Row],[F_from_salts]]/MainTbl[[#This Row],[TotalAtoms_all]],0)</f>
        <v>1.239973089064845E-2</v>
      </c>
      <c r="AS59" s="2">
        <f>IFERROR(MainTbl[[#This Row],[F_total]]/MainTbl[[#This Row],[O_total]],0)</f>
        <v>0.91957572502685281</v>
      </c>
      <c r="AT59" s="2">
        <f>IFERROR(MainTbl[[#This Row],[F_total]]/MainTbl[[#This Row],[C_total]],0)</f>
        <v>0.54791999999999996</v>
      </c>
      <c r="AU59" s="2">
        <f>IFERROR(MainTbl[[#This Row],[O_total]]/MainTbl[[#This Row],[C_total]],0)</f>
        <v>0.59584000000000004</v>
      </c>
      <c r="AV59" s="2">
        <f>IFERROR((MainTbl[[#This Row],[TotalAtoms_all]]-(MainTbl[[#This Row],[C_total]]+MainTbl[[#This Row],[H_total]]+MainTbl[[#This Row],[Li_total]]))/MainTbl[[#This Row],[C_total]],0)</f>
        <v>1.2156400000000001</v>
      </c>
      <c r="AW59" t="str">
        <f>IFERROR(VLOOKUP(MainTbl[[#This Row],[salt_1_smiles]],SaltTbl[],MATCH("Salt",SaltTbl[#Headers],0),FALSE),"")</f>
        <v>LiFSI</v>
      </c>
      <c r="AX59" t="str">
        <f>IFERROR(VLOOKUP(MainTbl[[#This Row],[salt_2_smiles]],SaltTbl[],MATCH("Salt",SaltTbl[#Headers],0),FALSE),"")</f>
        <v/>
      </c>
      <c r="AY59" t="str">
        <f>IFERROR(VLOOKUP(MainTbl[[#This Row],[solvent_1_smiles]],SolvTbl[],MATCH("Solvent",SolvTbl[#Headers],0),FALSE),"")</f>
        <v>éter de oligoglicol fluorado</v>
      </c>
      <c r="AZ59" t="str">
        <f>IFERROR(VLOOKUP(MainTbl[[#This Row],[solvent_2_smiles]],SolvTbl[],MATCH("Solvent",SolvTbl[#Headers],0),FALSE),"")</f>
        <v/>
      </c>
      <c r="BA59" t="str">
        <f>IFERROR(VLOOKUP(MainTbl[[#This Row],[solvent_3_smiles]],SolvTbl[],MATCH("Solvent",SolvTbl[#Headers],0),FALSE),"")</f>
        <v/>
      </c>
      <c r="BB59">
        <f>--(MainTbl[[#This Row],[solv_1_ratio]]&gt;0)+--(MainTbl[[#This Row],[solv_2_ratio]]&gt;0)+--(MainTbl[[#This Row],[solv_3_ratio]]&gt;0)</f>
        <v>1</v>
      </c>
      <c r="BC59" t="str">
        <f>IF(AND(MainTbl[[#This Row],[SaltName1]]&lt;&gt;"",MainTbl[[#This Row],[salt_1_conc]]&gt;0),TEXT(MainTbl[[#This Row],[salt_1_conc]],"0.###")&amp;" M "&amp;MainTbl[[#This Row],[SaltName1]],"")</f>
        <v>1. M LiFSI</v>
      </c>
      <c r="BD59" t="str">
        <f>IF(AND(MainTbl[[#This Row],[SaltName2]]&lt;&gt;"",MainTbl[[#This Row],[salt_2_conc]]&gt;0),TEXT(MainTbl[[#This Row],[salt_2_conc]],"0.###")&amp;" M "&amp;MainTbl[[#This Row],[SaltName2]],"")</f>
        <v/>
      </c>
      <c r="BE5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59" t="str">
        <f>IF(MainTbl[[#This Row],[SolvCount]]=1,MainTbl[[#This Row],[SolvName1]],IF(MainTbl[[#This Row],[solv_1_ratio]]&gt;0,MainTbl[[#This Row],[SolvName1]]&amp;" "&amp;TEXT(MainTbl[[#This Row],[solv_1_ratio]]*100,"0.##")&amp;"%",""))</f>
        <v>éter de oligoglicol fluorado</v>
      </c>
      <c r="BG59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5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5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éter de oligoglicol fluorado</v>
      </c>
      <c r="BJ59" t="str">
        <f>TRIM(_xlfn.CONCAT(MainTbl[[#This Row],[Salt_text]]," ",MainTbl[[#This Row],[Solvent_text]]))</f>
        <v>1. M LiFSI éter de oligoglicol fluorado</v>
      </c>
    </row>
    <row r="60" spans="1:62" x14ac:dyDescent="0.25">
      <c r="A60" t="s">
        <v>19</v>
      </c>
      <c r="B60" t="s">
        <v>28</v>
      </c>
      <c r="D60" t="s">
        <v>22</v>
      </c>
      <c r="G60">
        <v>0.41666666699999999</v>
      </c>
      <c r="H60">
        <v>0.58333333300000001</v>
      </c>
      <c r="I60">
        <v>0</v>
      </c>
      <c r="J60">
        <v>3</v>
      </c>
      <c r="K60">
        <v>0</v>
      </c>
      <c r="L60">
        <v>0.95</v>
      </c>
      <c r="M60">
        <f t="shared" si="0"/>
        <v>95</v>
      </c>
      <c r="N60">
        <f t="shared" si="1"/>
        <v>1.3010299956639808</v>
      </c>
      <c r="O60">
        <f>IFERROR(MainTbl[[#This Row],[solv_1_ratio]]*VLOOKUP(MainTbl[[#This Row],[solvent_1_smiles]],SolvTbl[],13,FALSE),0)</f>
        <v>6.245599696123187</v>
      </c>
      <c r="P60">
        <f>IFERROR(MainTbl[[#This Row],[solv_2_ratio]]*VLOOKUP(MainTbl[[#This Row],[solvent_2_smiles]],SolvTbl[],13,FALSE),0)</f>
        <v>4.8146110190044871</v>
      </c>
      <c r="Q60">
        <f>IFERROR(MainTbl[[#This Row],[solv_3_ratio]]*VLOOKUP(MainTbl[[#This Row],[solvent_3_smiles]],SolvTbl[],13,FALSE),0)</f>
        <v>0</v>
      </c>
      <c r="R60">
        <f>IFERROR(MainTbl[[#This Row],[salt_1_conc]],0)</f>
        <v>3</v>
      </c>
      <c r="S60">
        <f>IFERROR(MainTbl[[#This Row],[salt_2_conc]],0)</f>
        <v>0</v>
      </c>
      <c r="T6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33.180632145383022</v>
      </c>
      <c r="U6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12</v>
      </c>
      <c r="V60">
        <f>MainTbl[[#This Row],[O_from_solvents]]+MainTbl[[#This Row],[O_from_salts]]</f>
        <v>45.180632145383022</v>
      </c>
      <c r="W6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42.809854183391998</v>
      </c>
      <c r="X6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0">
        <f>MainTbl[[#This Row],[C_from_solvents]]+MainTbl[[#This Row],[C_from_salts]]</f>
        <v>42.809854183391998</v>
      </c>
      <c r="Z6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6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60">
        <f>MainTbl[[#This Row],[F_from_solvents]]+MainTbl[[#This Row],[F_from_salts]]</f>
        <v>6</v>
      </c>
      <c r="AC6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73.128508974537624</v>
      </c>
      <c r="AD6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0">
        <f>MainTbl[[#This Row],[H_from_solvents]]+MainTbl[[#This Row],[H_from_salts]]</f>
        <v>73.128508974537624</v>
      </c>
      <c r="AF6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</v>
      </c>
      <c r="AH60">
        <f>MainTbl[[#This Row],[Li_from_solvents]]+MainTbl[[#This Row],[Li_from_salts]]</f>
        <v>3</v>
      </c>
      <c r="AI6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179.11899530331263</v>
      </c>
      <c r="AJ60" s="2">
        <f>IFERROR(MainTbl[[#This Row],[O_total]]/MainTbl[[#This Row],[TotalAtoms_all]],0)</f>
        <v>0.25223808378824381</v>
      </c>
      <c r="AK60" s="2">
        <f>IFERROR(MainTbl[[#This Row],[O_from_solvents]]/MainTbl[[#This Row],[TotalAtoms_all]],0)</f>
        <v>0.18524351417445328</v>
      </c>
      <c r="AL60" s="2">
        <f>IFERROR(MainTbl[[#This Row],[O_from_salts]]/MainTbl[[#This Row],[TotalAtoms_all]],0)</f>
        <v>6.699456961379055E-2</v>
      </c>
      <c r="AM60" s="2">
        <f>IFERROR(MainTbl[[#This Row],[C_total]]/MainTbl[[#This Row],[TotalAtoms_all]],0)</f>
        <v>0.23900231302045646</v>
      </c>
      <c r="AN60" s="2">
        <f>IFERROR(MainTbl[[#This Row],[C_from_solvents]]/MainTbl[[#This Row],[TotalAtoms_all]],0)</f>
        <v>0.23900231302045646</v>
      </c>
      <c r="AO60" s="2">
        <f>IFERROR(MainTbl[[#This Row],[C_from_salts]]/MainTbl[[#This Row],[TotalAtoms_all]],0)</f>
        <v>0</v>
      </c>
      <c r="AP60" s="2">
        <f>IFERROR(MainTbl[[#This Row],[F_total]]/MainTbl[[#This Row],[TotalAtoms_all]],0)</f>
        <v>3.3497284806895275E-2</v>
      </c>
      <c r="AQ60" s="2">
        <f>IFERROR(MainTbl[[#This Row],[F_from_solvents]]/MainTbl[[#This Row],[TotalAtoms_all]],0)</f>
        <v>0</v>
      </c>
      <c r="AR60" s="2">
        <f>IFERROR(MainTbl[[#This Row],[F_from_salts]]/MainTbl[[#This Row],[TotalAtoms_all]],0)</f>
        <v>3.3497284806895275E-2</v>
      </c>
      <c r="AS60" s="2">
        <f>IFERROR(MainTbl[[#This Row],[F_total]]/MainTbl[[#This Row],[O_total]],0)</f>
        <v>0.13280026673139711</v>
      </c>
      <c r="AT60" s="2">
        <f>IFERROR(MainTbl[[#This Row],[F_total]]/MainTbl[[#This Row],[C_total]],0)</f>
        <v>0.14015464697209104</v>
      </c>
      <c r="AU60" s="2">
        <f>IFERROR(MainTbl[[#This Row],[O_total]]/MainTbl[[#This Row],[C_total]],0)</f>
        <v>1.0553792580520109</v>
      </c>
      <c r="AV60" s="2">
        <f>IFERROR((MainTbl[[#This Row],[TotalAtoms_all]]-(MainTbl[[#This Row],[C_total]]+MainTbl[[#This Row],[H_total]]+MainTbl[[#This Row],[Li_total]]))/MainTbl[[#This Row],[C_total]],0)</f>
        <v>1.4057658754822384</v>
      </c>
      <c r="AW60" t="str">
        <f>IFERROR(VLOOKUP(MainTbl[[#This Row],[salt_1_smiles]],SaltTbl[],MATCH("Salt",SaltTbl[#Headers],0),FALSE),"")</f>
        <v>LiFSI</v>
      </c>
      <c r="AX60" t="str">
        <f>IFERROR(VLOOKUP(MainTbl[[#This Row],[salt_2_smiles]],SaltTbl[],MATCH("Salt",SaltTbl[#Headers],0),FALSE),"")</f>
        <v/>
      </c>
      <c r="AY60" t="str">
        <f>IFERROR(VLOOKUP(MainTbl[[#This Row],[solvent_1_smiles]],SolvTbl[],MATCH("Solvent",SolvTbl[#Headers],0),FALSE),"")</f>
        <v>Ethylene carbonate</v>
      </c>
      <c r="AZ60" t="str">
        <f>IFERROR(VLOOKUP(MainTbl[[#This Row],[solvent_2_smiles]],SolvTbl[],MATCH("Solvent",SolvTbl[#Headers],0),FALSE),"")</f>
        <v>Diethyl Carbonate</v>
      </c>
      <c r="BA60" t="str">
        <f>IFERROR(VLOOKUP(MainTbl[[#This Row],[solvent_3_smiles]],SolvTbl[],MATCH("Solvent",SolvTbl[#Headers],0),FALSE),"")</f>
        <v/>
      </c>
      <c r="BB60">
        <f>--(MainTbl[[#This Row],[solv_1_ratio]]&gt;0)+--(MainTbl[[#This Row],[solv_2_ratio]]&gt;0)+--(MainTbl[[#This Row],[solv_3_ratio]]&gt;0)</f>
        <v>2</v>
      </c>
      <c r="BC60" t="str">
        <f>IF(AND(MainTbl[[#This Row],[SaltName1]]&lt;&gt;"",MainTbl[[#This Row],[salt_1_conc]]&gt;0),TEXT(MainTbl[[#This Row],[salt_1_conc]],"0.###")&amp;" M "&amp;MainTbl[[#This Row],[SaltName1]],"")</f>
        <v>3. M LiFSI</v>
      </c>
      <c r="BD60" t="str">
        <f>IF(AND(MainTbl[[#This Row],[SaltName2]]&lt;&gt;"",MainTbl[[#This Row],[salt_2_conc]]&gt;0),TEXT(MainTbl[[#This Row],[salt_2_conc]],"0.###")&amp;" M "&amp;MainTbl[[#This Row],[SaltName2]],"")</f>
        <v/>
      </c>
      <c r="BE6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3. M LiFSI</v>
      </c>
      <c r="BF60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41.67%</v>
      </c>
      <c r="BG60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58.33%</v>
      </c>
      <c r="BH6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41.67% + Diethyl Carbonate 58.33%</v>
      </c>
      <c r="BJ60" t="str">
        <f>TRIM(_xlfn.CONCAT(MainTbl[[#This Row],[Salt_text]]," ",MainTbl[[#This Row],[Solvent_text]]))</f>
        <v>3. M LiFSI Ethylene carbonate 41.67% + Diethyl Carbonate 58.33%</v>
      </c>
    </row>
    <row r="61" spans="1:62" x14ac:dyDescent="0.25">
      <c r="A61" t="s">
        <v>45</v>
      </c>
      <c r="D61" t="s">
        <v>22</v>
      </c>
      <c r="G61">
        <v>1</v>
      </c>
      <c r="H61">
        <v>0</v>
      </c>
      <c r="I61">
        <v>0</v>
      </c>
      <c r="J61">
        <v>1</v>
      </c>
      <c r="K61">
        <v>0</v>
      </c>
      <c r="L61">
        <v>0.97699999999999998</v>
      </c>
      <c r="M61">
        <f t="shared" si="0"/>
        <v>97.7</v>
      </c>
      <c r="N61">
        <f t="shared" si="1"/>
        <v>1.6382721639824067</v>
      </c>
      <c r="O61">
        <f>IFERROR(MainTbl[[#This Row],[solv_1_ratio]]*VLOOKUP(MainTbl[[#This Row],[solvent_1_smiles]],SolvTbl[],13,FALSE),0)</f>
        <v>6.7697931828182654</v>
      </c>
      <c r="P61">
        <f>IFERROR(MainTbl[[#This Row],[solv_2_ratio]]*VLOOKUP(MainTbl[[#This Row],[solvent_2_smiles]],SolvTbl[],13,FALSE),0)</f>
        <v>0</v>
      </c>
      <c r="Q61">
        <f>IFERROR(MainTbl[[#This Row],[solv_3_ratio]]*VLOOKUP(MainTbl[[#This Row],[solvent_3_smiles]],SolvTbl[],13,FALSE),0)</f>
        <v>0</v>
      </c>
      <c r="R61">
        <f>IFERROR(MainTbl[[#This Row],[salt_1_conc]],0)</f>
        <v>1</v>
      </c>
      <c r="S61">
        <f>IFERROR(MainTbl[[#This Row],[salt_2_conc]],0)</f>
        <v>0</v>
      </c>
      <c r="T6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13.539586365636531</v>
      </c>
      <c r="U6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61">
        <f>MainTbl[[#This Row],[O_from_solvents]]+MainTbl[[#This Row],[O_from_salts]]</f>
        <v>17.539586365636531</v>
      </c>
      <c r="W6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40.618759096909592</v>
      </c>
      <c r="X6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1">
        <f>MainTbl[[#This Row],[C_from_solvents]]+MainTbl[[#This Row],[C_from_salts]]</f>
        <v>40.618759096909592</v>
      </c>
      <c r="Z6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6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61">
        <f>MainTbl[[#This Row],[F_from_solvents]]+MainTbl[[#This Row],[F_from_salts]]</f>
        <v>2</v>
      </c>
      <c r="AC6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94.777104559455722</v>
      </c>
      <c r="AD6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1">
        <f>MainTbl[[#This Row],[H_from_solvents]]+MainTbl[[#This Row],[H_from_salts]]</f>
        <v>94.777104559455722</v>
      </c>
      <c r="AF6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61">
        <f>MainTbl[[#This Row],[Li_from_solvents]]+MainTbl[[#This Row],[Li_from_salts]]</f>
        <v>1</v>
      </c>
      <c r="AI6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158.93545002200185</v>
      </c>
      <c r="AJ61" s="2">
        <f>IFERROR(MainTbl[[#This Row],[O_total]]/MainTbl[[#This Row],[TotalAtoms_all]],0)</f>
        <v>0.11035666594965743</v>
      </c>
      <c r="AK61" s="2">
        <f>IFERROR(MainTbl[[#This Row],[O_from_solvents]]/MainTbl[[#This Row],[TotalAtoms_all]],0)</f>
        <v>8.5189215897159581E-2</v>
      </c>
      <c r="AL61" s="2">
        <f>IFERROR(MainTbl[[#This Row],[O_from_salts]]/MainTbl[[#This Row],[TotalAtoms_all]],0)</f>
        <v>2.5167450052497851E-2</v>
      </c>
      <c r="AM61" s="2">
        <f>IFERROR(MainTbl[[#This Row],[C_total]]/MainTbl[[#This Row],[TotalAtoms_all]],0)</f>
        <v>0.25556764769147872</v>
      </c>
      <c r="AN61" s="2">
        <f>IFERROR(MainTbl[[#This Row],[C_from_solvents]]/MainTbl[[#This Row],[TotalAtoms_all]],0)</f>
        <v>0.25556764769147872</v>
      </c>
      <c r="AO61" s="2">
        <f>IFERROR(MainTbl[[#This Row],[C_from_salts]]/MainTbl[[#This Row],[TotalAtoms_all]],0)</f>
        <v>0</v>
      </c>
      <c r="AP61" s="2">
        <f>IFERROR(MainTbl[[#This Row],[F_total]]/MainTbl[[#This Row],[TotalAtoms_all]],0)</f>
        <v>1.2583725026248925E-2</v>
      </c>
      <c r="AQ61" s="2">
        <f>IFERROR(MainTbl[[#This Row],[F_from_solvents]]/MainTbl[[#This Row],[TotalAtoms_all]],0)</f>
        <v>0</v>
      </c>
      <c r="AR61" s="2">
        <f>IFERROR(MainTbl[[#This Row],[F_from_salts]]/MainTbl[[#This Row],[TotalAtoms_all]],0)</f>
        <v>1.2583725026248925E-2</v>
      </c>
      <c r="AS61" s="2">
        <f>IFERROR(MainTbl[[#This Row],[F_total]]/MainTbl[[#This Row],[O_total]],0)</f>
        <v>0.11402777456134255</v>
      </c>
      <c r="AT61" s="2">
        <f>IFERROR(MainTbl[[#This Row],[F_total]]/MainTbl[[#This Row],[C_total]],0)</f>
        <v>4.9238333333333328E-2</v>
      </c>
      <c r="AU61" s="2">
        <f>IFERROR(MainTbl[[#This Row],[O_total]]/MainTbl[[#This Row],[C_total]],0)</f>
        <v>0.43180999999999997</v>
      </c>
      <c r="AV61" s="2">
        <f>IFERROR((MainTbl[[#This Row],[TotalAtoms_all]]-(MainTbl[[#This Row],[C_total]]+MainTbl[[#This Row],[H_total]]+MainTbl[[#This Row],[Li_total]]))/MainTbl[[#This Row],[C_total]],0)</f>
        <v>0.5549058333333331</v>
      </c>
      <c r="AW61" t="str">
        <f>IFERROR(VLOOKUP(MainTbl[[#This Row],[salt_1_smiles]],SaltTbl[],MATCH("Salt",SaltTbl[#Headers],0),FALSE),"")</f>
        <v>LiFSI</v>
      </c>
      <c r="AX61" t="str">
        <f>IFERROR(VLOOKUP(MainTbl[[#This Row],[salt_2_smiles]],SaltTbl[],MATCH("Salt",SaltTbl[#Headers],0),FALSE),"")</f>
        <v/>
      </c>
      <c r="AY61" t="str">
        <f>IFERROR(VLOOKUP(MainTbl[[#This Row],[solvent_1_smiles]],SolvTbl[],MATCH("Solvent",SolvTbl[#Headers],0),FALSE),"")</f>
        <v>1,4-Dimethoxybutane</v>
      </c>
      <c r="AZ61" t="str">
        <f>IFERROR(VLOOKUP(MainTbl[[#This Row],[solvent_2_smiles]],SolvTbl[],MATCH("Solvent",SolvTbl[#Headers],0),FALSE),"")</f>
        <v/>
      </c>
      <c r="BA61" t="str">
        <f>IFERROR(VLOOKUP(MainTbl[[#This Row],[solvent_3_smiles]],SolvTbl[],MATCH("Solvent",SolvTbl[#Headers],0),FALSE),"")</f>
        <v/>
      </c>
      <c r="BB61">
        <f>--(MainTbl[[#This Row],[solv_1_ratio]]&gt;0)+--(MainTbl[[#This Row],[solv_2_ratio]]&gt;0)+--(MainTbl[[#This Row],[solv_3_ratio]]&gt;0)</f>
        <v>1</v>
      </c>
      <c r="BC61" t="str">
        <f>IF(AND(MainTbl[[#This Row],[SaltName1]]&lt;&gt;"",MainTbl[[#This Row],[salt_1_conc]]&gt;0),TEXT(MainTbl[[#This Row],[salt_1_conc]],"0.###")&amp;" M "&amp;MainTbl[[#This Row],[SaltName1]],"")</f>
        <v>1. M LiFSI</v>
      </c>
      <c r="BD61" t="str">
        <f>IF(AND(MainTbl[[#This Row],[SaltName2]]&lt;&gt;"",MainTbl[[#This Row],[salt_2_conc]]&gt;0),TEXT(MainTbl[[#This Row],[salt_2_conc]],"0.###")&amp;" M "&amp;MainTbl[[#This Row],[SaltName2]],"")</f>
        <v/>
      </c>
      <c r="BE6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61" t="str">
        <f>IF(MainTbl[[#This Row],[SolvCount]]=1,MainTbl[[#This Row],[SolvName1]],IF(MainTbl[[#This Row],[solv_1_ratio]]&gt;0,MainTbl[[#This Row],[SolvName1]]&amp;" "&amp;TEXT(MainTbl[[#This Row],[solv_1_ratio]]*100,"0.##")&amp;"%",""))</f>
        <v>1,4-Dimethoxybutane</v>
      </c>
      <c r="BG61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6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1,4-Dimethoxybutane</v>
      </c>
      <c r="BJ61" t="str">
        <f>TRIM(_xlfn.CONCAT(MainTbl[[#This Row],[Salt_text]]," ",MainTbl[[#This Row],[Solvent_text]]))</f>
        <v>1. M LiFSI 1,4-Dimethoxybutane</v>
      </c>
    </row>
    <row r="62" spans="1:62" x14ac:dyDescent="0.25">
      <c r="A62" t="s">
        <v>18</v>
      </c>
      <c r="D62" t="s">
        <v>22</v>
      </c>
      <c r="G62">
        <v>1</v>
      </c>
      <c r="H62">
        <v>0</v>
      </c>
      <c r="I62">
        <v>0</v>
      </c>
      <c r="J62">
        <v>3.9</v>
      </c>
      <c r="K62">
        <v>0</v>
      </c>
      <c r="L62">
        <v>0.98199999999999998</v>
      </c>
      <c r="M62">
        <f t="shared" si="0"/>
        <v>98.2</v>
      </c>
      <c r="N62">
        <f t="shared" si="1"/>
        <v>1.7447274948966935</v>
      </c>
      <c r="O62">
        <f>IFERROR(MainTbl[[#This Row],[solv_1_ratio]]*VLOOKUP(MainTbl[[#This Row],[solvent_1_smiles]],SolvTbl[],13,FALSE),0)</f>
        <v>9.631602308033731</v>
      </c>
      <c r="P62">
        <f>IFERROR(MainTbl[[#This Row],[solv_2_ratio]]*VLOOKUP(MainTbl[[#This Row],[solvent_2_smiles]],SolvTbl[],13,FALSE),0)</f>
        <v>0</v>
      </c>
      <c r="Q62">
        <f>IFERROR(MainTbl[[#This Row],[solv_3_ratio]]*VLOOKUP(MainTbl[[#This Row],[solvent_3_smiles]],SolvTbl[],13,FALSE),0)</f>
        <v>0</v>
      </c>
      <c r="R62">
        <f>IFERROR(MainTbl[[#This Row],[salt_1_conc]],0)</f>
        <v>3.9</v>
      </c>
      <c r="S62">
        <f>IFERROR(MainTbl[[#This Row],[salt_2_conc]],0)</f>
        <v>0</v>
      </c>
      <c r="T6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6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15.6</v>
      </c>
      <c r="V62">
        <f>MainTbl[[#This Row],[O_from_solvents]]+MainTbl[[#This Row],[O_from_salts]]</f>
        <v>34.863204616067463</v>
      </c>
      <c r="W6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6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2">
        <f>MainTbl[[#This Row],[C_from_solvents]]+MainTbl[[#This Row],[C_from_salts]]</f>
        <v>38.526409232134924</v>
      </c>
      <c r="Z6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6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7.8</v>
      </c>
      <c r="AB62">
        <f>MainTbl[[#This Row],[F_from_solvents]]+MainTbl[[#This Row],[F_from_salts]]</f>
        <v>7.8</v>
      </c>
      <c r="AC6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6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2">
        <f>MainTbl[[#This Row],[H_from_solvents]]+MainTbl[[#This Row],[H_from_salts]]</f>
        <v>96.316023080337317</v>
      </c>
      <c r="AF6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3.9</v>
      </c>
      <c r="AH62">
        <f>MainTbl[[#This Row],[Li_from_solvents]]+MainTbl[[#This Row],[Li_from_salts]]</f>
        <v>3.9</v>
      </c>
      <c r="AI6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193.1056369285397</v>
      </c>
      <c r="AJ62" s="2">
        <f>IFERROR(MainTbl[[#This Row],[O_total]]/MainTbl[[#This Row],[TotalAtoms_all]],0)</f>
        <v>0.18053954908094616</v>
      </c>
      <c r="AK62" s="2">
        <f>IFERROR(MainTbl[[#This Row],[O_from_solvents]]/MainTbl[[#This Row],[TotalAtoms_all]],0)</f>
        <v>9.9754750417751739E-2</v>
      </c>
      <c r="AL62" s="2">
        <f>IFERROR(MainTbl[[#This Row],[O_from_salts]]/MainTbl[[#This Row],[TotalAtoms_all]],0)</f>
        <v>8.0784798663194421E-2</v>
      </c>
      <c r="AM62" s="2">
        <f>IFERROR(MainTbl[[#This Row],[C_total]]/MainTbl[[#This Row],[TotalAtoms_all]],0)</f>
        <v>0.19950950083550348</v>
      </c>
      <c r="AN62" s="2">
        <f>IFERROR(MainTbl[[#This Row],[C_from_solvents]]/MainTbl[[#This Row],[TotalAtoms_all]],0)</f>
        <v>0.19950950083550348</v>
      </c>
      <c r="AO62" s="2">
        <f>IFERROR(MainTbl[[#This Row],[C_from_salts]]/MainTbl[[#This Row],[TotalAtoms_all]],0)</f>
        <v>0</v>
      </c>
      <c r="AP62" s="2">
        <f>IFERROR(MainTbl[[#This Row],[F_total]]/MainTbl[[#This Row],[TotalAtoms_all]],0)</f>
        <v>4.039239933159721E-2</v>
      </c>
      <c r="AQ62" s="2">
        <f>IFERROR(MainTbl[[#This Row],[F_from_solvents]]/MainTbl[[#This Row],[TotalAtoms_all]],0)</f>
        <v>0</v>
      </c>
      <c r="AR62" s="2">
        <f>IFERROR(MainTbl[[#This Row],[F_from_salts]]/MainTbl[[#This Row],[TotalAtoms_all]],0)</f>
        <v>4.039239933159721E-2</v>
      </c>
      <c r="AS62" s="2">
        <f>IFERROR(MainTbl[[#This Row],[F_total]]/MainTbl[[#This Row],[O_total]],0)</f>
        <v>0.2237315842274924</v>
      </c>
      <c r="AT62" s="2">
        <f>IFERROR(MainTbl[[#This Row],[F_total]]/MainTbl[[#This Row],[C_total]],0)</f>
        <v>0.20245852534562214</v>
      </c>
      <c r="AU62" s="2">
        <f>IFERROR(MainTbl[[#This Row],[O_total]]/MainTbl[[#This Row],[C_total]],0)</f>
        <v>0.9049170506912444</v>
      </c>
      <c r="AV62" s="2">
        <f>IFERROR((MainTbl[[#This Row],[TotalAtoms_all]]-(MainTbl[[#This Row],[C_total]]+MainTbl[[#This Row],[H_total]]+MainTbl[[#This Row],[Li_total]]))/MainTbl[[#This Row],[C_total]],0)</f>
        <v>1.4110633640552996</v>
      </c>
      <c r="AW62" t="str">
        <f>IFERROR(VLOOKUP(MainTbl[[#This Row],[salt_1_smiles]],SaltTbl[],MATCH("Salt",SaltTbl[#Headers],0),FALSE),"")</f>
        <v>LiFSI</v>
      </c>
      <c r="AX62" t="str">
        <f>IFERROR(VLOOKUP(MainTbl[[#This Row],[salt_2_smiles]],SaltTbl[],MATCH("Salt",SaltTbl[#Headers],0),FALSE),"")</f>
        <v/>
      </c>
      <c r="AY62" t="str">
        <f>IFERROR(VLOOKUP(MainTbl[[#This Row],[solvent_1_smiles]],SolvTbl[],MATCH("Solvent",SolvTbl[#Headers],0),FALSE),"")</f>
        <v>DME (C4H10O2)</v>
      </c>
      <c r="AZ62" t="str">
        <f>IFERROR(VLOOKUP(MainTbl[[#This Row],[solvent_2_smiles]],SolvTbl[],MATCH("Solvent",SolvTbl[#Headers],0),FALSE),"")</f>
        <v/>
      </c>
      <c r="BA62" t="str">
        <f>IFERROR(VLOOKUP(MainTbl[[#This Row],[solvent_3_smiles]],SolvTbl[],MATCH("Solvent",SolvTbl[#Headers],0),FALSE),"")</f>
        <v/>
      </c>
      <c r="BB62">
        <f>--(MainTbl[[#This Row],[solv_1_ratio]]&gt;0)+--(MainTbl[[#This Row],[solv_2_ratio]]&gt;0)+--(MainTbl[[#This Row],[solv_3_ratio]]&gt;0)</f>
        <v>1</v>
      </c>
      <c r="BC62" t="str">
        <f>IF(AND(MainTbl[[#This Row],[SaltName1]]&lt;&gt;"",MainTbl[[#This Row],[salt_1_conc]]&gt;0),TEXT(MainTbl[[#This Row],[salt_1_conc]],"0.###")&amp;" M "&amp;MainTbl[[#This Row],[SaltName1]],"")</f>
        <v>3.9 M LiFSI</v>
      </c>
      <c r="BD62" t="str">
        <f>IF(AND(MainTbl[[#This Row],[SaltName2]]&lt;&gt;"",MainTbl[[#This Row],[salt_2_conc]]&gt;0),TEXT(MainTbl[[#This Row],[salt_2_conc]],"0.###")&amp;" M "&amp;MainTbl[[#This Row],[SaltName2]],"")</f>
        <v/>
      </c>
      <c r="BE6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3.9 M LiFSI</v>
      </c>
      <c r="BF62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62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6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62" t="str">
        <f>TRIM(_xlfn.CONCAT(MainTbl[[#This Row],[Salt_text]]," ",MainTbl[[#This Row],[Solvent_text]]))</f>
        <v>3.9 M LiFSI DME (C4H10O2)</v>
      </c>
    </row>
    <row r="63" spans="1:62" x14ac:dyDescent="0.25">
      <c r="A63" t="s">
        <v>18</v>
      </c>
      <c r="D63" t="s">
        <v>22</v>
      </c>
      <c r="G63">
        <v>1</v>
      </c>
      <c r="H63">
        <v>0</v>
      </c>
      <c r="I63">
        <v>0</v>
      </c>
      <c r="J63">
        <v>1</v>
      </c>
      <c r="K63">
        <v>0</v>
      </c>
      <c r="L63">
        <v>0.98399999999999999</v>
      </c>
      <c r="M63">
        <f t="shared" si="0"/>
        <v>98.4</v>
      </c>
      <c r="N63">
        <f t="shared" si="1"/>
        <v>1.7958800173440748</v>
      </c>
      <c r="O63">
        <f>IFERROR(MainTbl[[#This Row],[solv_1_ratio]]*VLOOKUP(MainTbl[[#This Row],[solvent_1_smiles]],SolvTbl[],13,FALSE),0)</f>
        <v>9.631602308033731</v>
      </c>
      <c r="P63">
        <f>IFERROR(MainTbl[[#This Row],[solv_2_ratio]]*VLOOKUP(MainTbl[[#This Row],[solvent_2_smiles]],SolvTbl[],13,FALSE),0)</f>
        <v>0</v>
      </c>
      <c r="Q63">
        <f>IFERROR(MainTbl[[#This Row],[solv_3_ratio]]*VLOOKUP(MainTbl[[#This Row],[solvent_3_smiles]],SolvTbl[],13,FALSE),0)</f>
        <v>0</v>
      </c>
      <c r="R63">
        <f>IFERROR(MainTbl[[#This Row],[salt_1_conc]],0)</f>
        <v>1</v>
      </c>
      <c r="S63">
        <f>IFERROR(MainTbl[[#This Row],[salt_2_conc]],0)</f>
        <v>0</v>
      </c>
      <c r="T6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6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63">
        <f>MainTbl[[#This Row],[O_from_solvents]]+MainTbl[[#This Row],[O_from_salts]]</f>
        <v>23.263204616067462</v>
      </c>
      <c r="W6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6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3">
        <f>MainTbl[[#This Row],[C_from_solvents]]+MainTbl[[#This Row],[C_from_salts]]</f>
        <v>38.526409232134924</v>
      </c>
      <c r="Z6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6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63">
        <f>MainTbl[[#This Row],[F_from_solvents]]+MainTbl[[#This Row],[F_from_salts]]</f>
        <v>2</v>
      </c>
      <c r="AC6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6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3">
        <f>MainTbl[[#This Row],[H_from_solvents]]+MainTbl[[#This Row],[H_from_salts]]</f>
        <v>96.316023080337317</v>
      </c>
      <c r="AF6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63">
        <f>MainTbl[[#This Row],[Li_from_solvents]]+MainTbl[[#This Row],[Li_from_salts]]</f>
        <v>1</v>
      </c>
      <c r="AI6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164.1056369285397</v>
      </c>
      <c r="AJ63" s="2">
        <f>IFERROR(MainTbl[[#This Row],[O_total]]/MainTbl[[#This Row],[TotalAtoms_all]],0)</f>
        <v>0.14175749871527871</v>
      </c>
      <c r="AK63" s="2">
        <f>IFERROR(MainTbl[[#This Row],[O_from_solvents]]/MainTbl[[#This Row],[TotalAtoms_all]],0)</f>
        <v>0.11738295512941876</v>
      </c>
      <c r="AL63" s="2">
        <f>IFERROR(MainTbl[[#This Row],[O_from_salts]]/MainTbl[[#This Row],[TotalAtoms_all]],0)</f>
        <v>2.4374543585859956E-2</v>
      </c>
      <c r="AM63" s="2">
        <f>IFERROR(MainTbl[[#This Row],[C_total]]/MainTbl[[#This Row],[TotalAtoms_all]],0)</f>
        <v>0.23476591025883753</v>
      </c>
      <c r="AN63" s="2">
        <f>IFERROR(MainTbl[[#This Row],[C_from_solvents]]/MainTbl[[#This Row],[TotalAtoms_all]],0)</f>
        <v>0.23476591025883753</v>
      </c>
      <c r="AO63" s="2">
        <f>IFERROR(MainTbl[[#This Row],[C_from_salts]]/MainTbl[[#This Row],[TotalAtoms_all]],0)</f>
        <v>0</v>
      </c>
      <c r="AP63" s="2">
        <f>IFERROR(MainTbl[[#This Row],[F_total]]/MainTbl[[#This Row],[TotalAtoms_all]],0)</f>
        <v>1.2187271792929978E-2</v>
      </c>
      <c r="AQ63" s="2">
        <f>IFERROR(MainTbl[[#This Row],[F_from_solvents]]/MainTbl[[#This Row],[TotalAtoms_all]],0)</f>
        <v>0</v>
      </c>
      <c r="AR63" s="2">
        <f>IFERROR(MainTbl[[#This Row],[F_from_salts]]/MainTbl[[#This Row],[TotalAtoms_all]],0)</f>
        <v>1.2187271792929978E-2</v>
      </c>
      <c r="AS63" s="2">
        <f>IFERROR(MainTbl[[#This Row],[F_total]]/MainTbl[[#This Row],[O_total]],0)</f>
        <v>8.5972678012668863E-2</v>
      </c>
      <c r="AT63" s="2">
        <f>IFERROR(MainTbl[[#This Row],[F_total]]/MainTbl[[#This Row],[C_total]],0)</f>
        <v>5.1912442396313374E-2</v>
      </c>
      <c r="AU63" s="2">
        <f>IFERROR(MainTbl[[#This Row],[O_total]]/MainTbl[[#This Row],[C_total]],0)</f>
        <v>0.60382488479262675</v>
      </c>
      <c r="AV63" s="2">
        <f>IFERROR((MainTbl[[#This Row],[TotalAtoms_all]]-(MainTbl[[#This Row],[C_total]]+MainTbl[[#This Row],[H_total]]+MainTbl[[#This Row],[Li_total]]))/MainTbl[[#This Row],[C_total]],0)</f>
        <v>0.73360599078341038</v>
      </c>
      <c r="AW63" t="str">
        <f>IFERROR(VLOOKUP(MainTbl[[#This Row],[salt_1_smiles]],SaltTbl[],MATCH("Salt",SaltTbl[#Headers],0),FALSE),"")</f>
        <v>LiFSI</v>
      </c>
      <c r="AX63" t="str">
        <f>IFERROR(VLOOKUP(MainTbl[[#This Row],[salt_2_smiles]],SaltTbl[],MATCH("Salt",SaltTbl[#Headers],0),FALSE),"")</f>
        <v/>
      </c>
      <c r="AY63" t="str">
        <f>IFERROR(VLOOKUP(MainTbl[[#This Row],[solvent_1_smiles]],SolvTbl[],MATCH("Solvent",SolvTbl[#Headers],0),FALSE),"")</f>
        <v>DME (C4H10O2)</v>
      </c>
      <c r="AZ63" t="str">
        <f>IFERROR(VLOOKUP(MainTbl[[#This Row],[solvent_2_smiles]],SolvTbl[],MATCH("Solvent",SolvTbl[#Headers],0),FALSE),"")</f>
        <v/>
      </c>
      <c r="BA63" t="str">
        <f>IFERROR(VLOOKUP(MainTbl[[#This Row],[solvent_3_smiles]],SolvTbl[],MATCH("Solvent",SolvTbl[#Headers],0),FALSE),"")</f>
        <v/>
      </c>
      <c r="BB63">
        <f>--(MainTbl[[#This Row],[solv_1_ratio]]&gt;0)+--(MainTbl[[#This Row],[solv_2_ratio]]&gt;0)+--(MainTbl[[#This Row],[solv_3_ratio]]&gt;0)</f>
        <v>1</v>
      </c>
      <c r="BC63" t="str">
        <f>IF(AND(MainTbl[[#This Row],[SaltName1]]&lt;&gt;"",MainTbl[[#This Row],[salt_1_conc]]&gt;0),TEXT(MainTbl[[#This Row],[salt_1_conc]],"0.###")&amp;" M "&amp;MainTbl[[#This Row],[SaltName1]],"")</f>
        <v>1. M LiFSI</v>
      </c>
      <c r="BD63" t="str">
        <f>IF(AND(MainTbl[[#This Row],[SaltName2]]&lt;&gt;"",MainTbl[[#This Row],[salt_2_conc]]&gt;0),TEXT(MainTbl[[#This Row],[salt_2_conc]],"0.###")&amp;" M "&amp;MainTbl[[#This Row],[SaltName2]],"")</f>
        <v/>
      </c>
      <c r="BE6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63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63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6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63" t="str">
        <f>TRIM(_xlfn.CONCAT(MainTbl[[#This Row],[Salt_text]]," ",MainTbl[[#This Row],[Solvent_text]]))</f>
        <v>1. M LiFSI DME (C4H10O2)</v>
      </c>
    </row>
    <row r="64" spans="1:62" x14ac:dyDescent="0.25">
      <c r="A64" t="s">
        <v>18</v>
      </c>
      <c r="D64" t="s">
        <v>22</v>
      </c>
      <c r="G64">
        <v>1</v>
      </c>
      <c r="H64">
        <v>0</v>
      </c>
      <c r="I64">
        <v>0</v>
      </c>
      <c r="J64">
        <v>4</v>
      </c>
      <c r="K64">
        <v>0</v>
      </c>
      <c r="L64">
        <v>0.98499999999999999</v>
      </c>
      <c r="M64">
        <f t="shared" si="0"/>
        <v>98.5</v>
      </c>
      <c r="N64">
        <f t="shared" si="1"/>
        <v>1.8239087409443184</v>
      </c>
      <c r="O64">
        <f>IFERROR(MainTbl[[#This Row],[solv_1_ratio]]*VLOOKUP(MainTbl[[#This Row],[solvent_1_smiles]],SolvTbl[],13,FALSE),0)</f>
        <v>9.631602308033731</v>
      </c>
      <c r="P64">
        <f>IFERROR(MainTbl[[#This Row],[solv_2_ratio]]*VLOOKUP(MainTbl[[#This Row],[solvent_2_smiles]],SolvTbl[],13,FALSE),0)</f>
        <v>0</v>
      </c>
      <c r="Q64">
        <f>IFERROR(MainTbl[[#This Row],[solv_3_ratio]]*VLOOKUP(MainTbl[[#This Row],[solvent_3_smiles]],SolvTbl[],13,FALSE),0)</f>
        <v>0</v>
      </c>
      <c r="R64">
        <f>IFERROR(MainTbl[[#This Row],[salt_1_conc]],0)</f>
        <v>4</v>
      </c>
      <c r="S64">
        <f>IFERROR(MainTbl[[#This Row],[salt_2_conc]],0)</f>
        <v>0</v>
      </c>
      <c r="T6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6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16</v>
      </c>
      <c r="V64">
        <f>MainTbl[[#This Row],[O_from_solvents]]+MainTbl[[#This Row],[O_from_salts]]</f>
        <v>35.263204616067462</v>
      </c>
      <c r="W6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6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4">
        <f>MainTbl[[#This Row],[C_from_solvents]]+MainTbl[[#This Row],[C_from_salts]]</f>
        <v>38.526409232134924</v>
      </c>
      <c r="Z6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6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8</v>
      </c>
      <c r="AB64">
        <f>MainTbl[[#This Row],[F_from_solvents]]+MainTbl[[#This Row],[F_from_salts]]</f>
        <v>8</v>
      </c>
      <c r="AC6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6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4">
        <f>MainTbl[[#This Row],[H_from_solvents]]+MainTbl[[#This Row],[H_from_salts]]</f>
        <v>96.316023080337317</v>
      </c>
      <c r="AF6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4</v>
      </c>
      <c r="AH64">
        <f>MainTbl[[#This Row],[Li_from_solvents]]+MainTbl[[#This Row],[Li_from_salts]]</f>
        <v>4</v>
      </c>
      <c r="AI6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194.1056369285397</v>
      </c>
      <c r="AJ64" s="2">
        <f>IFERROR(MainTbl[[#This Row],[O_total]]/MainTbl[[#This Row],[TotalAtoms_all]],0)</f>
        <v>0.18167017287112414</v>
      </c>
      <c r="AK64" s="2">
        <f>IFERROR(MainTbl[[#This Row],[O_from_solvents]]/MainTbl[[#This Row],[TotalAtoms_all]],0)</f>
        <v>9.9240830513125391E-2</v>
      </c>
      <c r="AL64" s="2">
        <f>IFERROR(MainTbl[[#This Row],[O_from_salts]]/MainTbl[[#This Row],[TotalAtoms_all]],0)</f>
        <v>8.2429342357998731E-2</v>
      </c>
      <c r="AM64" s="2">
        <f>IFERROR(MainTbl[[#This Row],[C_total]]/MainTbl[[#This Row],[TotalAtoms_all]],0)</f>
        <v>0.19848166102625078</v>
      </c>
      <c r="AN64" s="2">
        <f>IFERROR(MainTbl[[#This Row],[C_from_solvents]]/MainTbl[[#This Row],[TotalAtoms_all]],0)</f>
        <v>0.19848166102625078</v>
      </c>
      <c r="AO64" s="2">
        <f>IFERROR(MainTbl[[#This Row],[C_from_salts]]/MainTbl[[#This Row],[TotalAtoms_all]],0)</f>
        <v>0</v>
      </c>
      <c r="AP64" s="2">
        <f>IFERROR(MainTbl[[#This Row],[F_total]]/MainTbl[[#This Row],[TotalAtoms_all]],0)</f>
        <v>4.1214671178999365E-2</v>
      </c>
      <c r="AQ64" s="2">
        <f>IFERROR(MainTbl[[#This Row],[F_from_solvents]]/MainTbl[[#This Row],[TotalAtoms_all]],0)</f>
        <v>0</v>
      </c>
      <c r="AR64" s="2">
        <f>IFERROR(MainTbl[[#This Row],[F_from_salts]]/MainTbl[[#This Row],[TotalAtoms_all]],0)</f>
        <v>4.1214671178999365E-2</v>
      </c>
      <c r="AS64" s="2">
        <f>IFERROR(MainTbl[[#This Row],[F_total]]/MainTbl[[#This Row],[O_total]],0)</f>
        <v>0.22686537106031621</v>
      </c>
      <c r="AT64" s="2">
        <f>IFERROR(MainTbl[[#This Row],[F_total]]/MainTbl[[#This Row],[C_total]],0)</f>
        <v>0.2076497695852535</v>
      </c>
      <c r="AU64" s="2">
        <f>IFERROR(MainTbl[[#This Row],[O_total]]/MainTbl[[#This Row],[C_total]],0)</f>
        <v>0.91529953917050699</v>
      </c>
      <c r="AV64" s="2">
        <f>IFERROR((MainTbl[[#This Row],[TotalAtoms_all]]-(MainTbl[[#This Row],[C_total]]+MainTbl[[#This Row],[H_total]]+MainTbl[[#This Row],[Li_total]]))/MainTbl[[#This Row],[C_total]],0)</f>
        <v>1.4344239631336408</v>
      </c>
      <c r="AW64" t="str">
        <f>IFERROR(VLOOKUP(MainTbl[[#This Row],[salt_1_smiles]],SaltTbl[],MATCH("Salt",SaltTbl[#Headers],0),FALSE),"")</f>
        <v>LiFSI</v>
      </c>
      <c r="AX64" t="str">
        <f>IFERROR(VLOOKUP(MainTbl[[#This Row],[salt_2_smiles]],SaltTbl[],MATCH("Salt",SaltTbl[#Headers],0),FALSE),"")</f>
        <v/>
      </c>
      <c r="AY64" t="str">
        <f>IFERROR(VLOOKUP(MainTbl[[#This Row],[solvent_1_smiles]],SolvTbl[],MATCH("Solvent",SolvTbl[#Headers],0),FALSE),"")</f>
        <v>DME (C4H10O2)</v>
      </c>
      <c r="AZ64" t="str">
        <f>IFERROR(VLOOKUP(MainTbl[[#This Row],[solvent_2_smiles]],SolvTbl[],MATCH("Solvent",SolvTbl[#Headers],0),FALSE),"")</f>
        <v/>
      </c>
      <c r="BA64" t="str">
        <f>IFERROR(VLOOKUP(MainTbl[[#This Row],[solvent_3_smiles]],SolvTbl[],MATCH("Solvent",SolvTbl[#Headers],0),FALSE),"")</f>
        <v/>
      </c>
      <c r="BB64">
        <f>--(MainTbl[[#This Row],[solv_1_ratio]]&gt;0)+--(MainTbl[[#This Row],[solv_2_ratio]]&gt;0)+--(MainTbl[[#This Row],[solv_3_ratio]]&gt;0)</f>
        <v>1</v>
      </c>
      <c r="BC64" t="str">
        <f>IF(AND(MainTbl[[#This Row],[SaltName1]]&lt;&gt;"",MainTbl[[#This Row],[salt_1_conc]]&gt;0),TEXT(MainTbl[[#This Row],[salt_1_conc]],"0.###")&amp;" M "&amp;MainTbl[[#This Row],[SaltName1]],"")</f>
        <v>4. M LiFSI</v>
      </c>
      <c r="BD64" t="str">
        <f>IF(AND(MainTbl[[#This Row],[SaltName2]]&lt;&gt;"",MainTbl[[#This Row],[salt_2_conc]]&gt;0),TEXT(MainTbl[[#This Row],[salt_2_conc]],"0.###")&amp;" M "&amp;MainTbl[[#This Row],[SaltName2]],"")</f>
        <v/>
      </c>
      <c r="BE6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4. M LiFSI</v>
      </c>
      <c r="BF64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64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6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64" t="str">
        <f>TRIM(_xlfn.CONCAT(MainTbl[[#This Row],[Salt_text]]," ",MainTbl[[#This Row],[Solvent_text]]))</f>
        <v>4. M LiFSI DME (C4H10O2)</v>
      </c>
    </row>
    <row r="65" spans="1:62" x14ac:dyDescent="0.25">
      <c r="A65" t="s">
        <v>35</v>
      </c>
      <c r="B65" t="s">
        <v>41</v>
      </c>
      <c r="D65" t="s">
        <v>22</v>
      </c>
      <c r="F65" t="s">
        <v>41</v>
      </c>
      <c r="G65">
        <v>0.875</v>
      </c>
      <c r="H65">
        <v>0.125</v>
      </c>
      <c r="I65">
        <v>0</v>
      </c>
      <c r="J65">
        <v>10</v>
      </c>
      <c r="K65">
        <v>0</v>
      </c>
      <c r="L65">
        <v>0.98599999999999999</v>
      </c>
      <c r="M65">
        <f t="shared" si="0"/>
        <v>98.6</v>
      </c>
      <c r="N65">
        <f t="shared" si="1"/>
        <v>1.8538719643217616</v>
      </c>
      <c r="O65">
        <f>IFERROR(MainTbl[[#This Row],[solv_1_ratio]]*VLOOKUP(MainTbl[[#This Row],[solvent_1_smiles]],SolvTbl[],13,FALSE),0)</f>
        <v>16.752326204511132</v>
      </c>
      <c r="P65">
        <f>IFERROR(MainTbl[[#This Row],[solv_2_ratio]]*VLOOKUP(MainTbl[[#This Row],[solvent_2_smiles]],SolvTbl[],13,FALSE),0)</f>
        <v>1.8736799073380122</v>
      </c>
      <c r="Q65">
        <f>IFERROR(MainTbl[[#This Row],[solv_3_ratio]]*VLOOKUP(MainTbl[[#This Row],[solvent_3_smiles]],SolvTbl[],13,FALSE),0)</f>
        <v>0</v>
      </c>
      <c r="R65">
        <f>IFERROR(MainTbl[[#This Row],[salt_1_conc]],0)</f>
        <v>10</v>
      </c>
      <c r="S65">
        <f>IFERROR(MainTbl[[#This Row],[salt_2_conc]],0)</f>
        <v>0</v>
      </c>
      <c r="T6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5.6210397220140367</v>
      </c>
      <c r="U6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40</v>
      </c>
      <c r="V65">
        <f>MainTbl[[#This Row],[O_from_solvents]]+MainTbl[[#This Row],[O_from_salts]]</f>
        <v>45.621039722014039</v>
      </c>
      <c r="W6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39.125692131036303</v>
      </c>
      <c r="X6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5">
        <f>MainTbl[[#This Row],[C_from_solvents]]+MainTbl[[#This Row],[C_from_salts]]</f>
        <v>39.125692131036303</v>
      </c>
      <c r="Z6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6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20</v>
      </c>
      <c r="AB65">
        <f>MainTbl[[#This Row],[F_from_solvents]]+MainTbl[[#This Row],[F_from_salts]]</f>
        <v>20</v>
      </c>
      <c r="AC6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57.751698242885439</v>
      </c>
      <c r="AD6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5">
        <f>MainTbl[[#This Row],[H_from_solvents]]+MainTbl[[#This Row],[H_from_salts]]</f>
        <v>57.751698242885439</v>
      </c>
      <c r="AF6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10</v>
      </c>
      <c r="AH65">
        <f>MainTbl[[#This Row],[Li_from_solvents]]+MainTbl[[#This Row],[Li_from_salts]]</f>
        <v>10</v>
      </c>
      <c r="AI6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219.25075630044691</v>
      </c>
      <c r="AJ65" s="2">
        <f>IFERROR(MainTbl[[#This Row],[O_total]]/MainTbl[[#This Row],[TotalAtoms_all]],0)</f>
        <v>0.20807700047108593</v>
      </c>
      <c r="AK65" s="2">
        <f>IFERROR(MainTbl[[#This Row],[O_from_solvents]]/MainTbl[[#This Row],[TotalAtoms_all]],0)</f>
        <v>2.5637492964044016E-2</v>
      </c>
      <c r="AL65" s="2">
        <f>IFERROR(MainTbl[[#This Row],[O_from_salts]]/MainTbl[[#This Row],[TotalAtoms_all]],0)</f>
        <v>0.18243950750704191</v>
      </c>
      <c r="AM65" s="2">
        <f>IFERROR(MainTbl[[#This Row],[C_total]]/MainTbl[[#This Row],[TotalAtoms_all]],0)</f>
        <v>0.17845180008146019</v>
      </c>
      <c r="AN65" s="2">
        <f>IFERROR(MainTbl[[#This Row],[C_from_solvents]]/MainTbl[[#This Row],[TotalAtoms_all]],0)</f>
        <v>0.17845180008146019</v>
      </c>
      <c r="AO65" s="2">
        <f>IFERROR(MainTbl[[#This Row],[C_from_salts]]/MainTbl[[#This Row],[TotalAtoms_all]],0)</f>
        <v>0</v>
      </c>
      <c r="AP65" s="2">
        <f>IFERROR(MainTbl[[#This Row],[F_total]]/MainTbl[[#This Row],[TotalAtoms_all]],0)</f>
        <v>9.1219753753520955E-2</v>
      </c>
      <c r="AQ65" s="2">
        <f>IFERROR(MainTbl[[#This Row],[F_from_solvents]]/MainTbl[[#This Row],[TotalAtoms_all]],0)</f>
        <v>0</v>
      </c>
      <c r="AR65" s="2">
        <f>IFERROR(MainTbl[[#This Row],[F_from_salts]]/MainTbl[[#This Row],[TotalAtoms_all]],0)</f>
        <v>9.1219753753520955E-2</v>
      </c>
      <c r="AS65" s="2">
        <f>IFERROR(MainTbl[[#This Row],[F_total]]/MainTbl[[#This Row],[O_total]],0)</f>
        <v>0.43839421727052774</v>
      </c>
      <c r="AT65" s="2">
        <f>IFERROR(MainTbl[[#This Row],[F_total]]/MainTbl[[#This Row],[C_total]],0)</f>
        <v>0.511173065846804</v>
      </c>
      <c r="AU65" s="2">
        <f>IFERROR(MainTbl[[#This Row],[O_total]]/MainTbl[[#This Row],[C_total]],0)</f>
        <v>1.1660123370910371</v>
      </c>
      <c r="AV65" s="2">
        <f>IFERROR((MainTbl[[#This Row],[TotalAtoms_all]]-(MainTbl[[#This Row],[C_total]]+MainTbl[[#This Row],[H_total]]+MainTbl[[#This Row],[Li_total]]))/MainTbl[[#This Row],[C_total]],0)</f>
        <v>2.8721118990093322</v>
      </c>
      <c r="AW65" t="str">
        <f>IFERROR(VLOOKUP(MainTbl[[#This Row],[salt_1_smiles]],SaltTbl[],MATCH("Salt",SaltTbl[#Headers],0),FALSE),"")</f>
        <v>LiFSI</v>
      </c>
      <c r="AX65" t="str">
        <f>IFERROR(VLOOKUP(MainTbl[[#This Row],[salt_2_smiles]],SaltTbl[],MATCH("Salt",SaltTbl[#Headers],0),FALSE),"")</f>
        <v/>
      </c>
      <c r="AY65" t="str">
        <f>IFERROR(VLOOKUP(MainTbl[[#This Row],[solvent_1_smiles]],SolvTbl[],MATCH("Solvent",SolvTbl[#Headers],0),FALSE),"")</f>
        <v>AN (CH3CN)</v>
      </c>
      <c r="AZ65" t="str">
        <f>IFERROR(VLOOKUP(MainTbl[[#This Row],[solvent_2_smiles]],SolvTbl[],MATCH("Solvent",SolvTbl[#Headers],0),FALSE),"")</f>
        <v>Ethylene carbonate</v>
      </c>
      <c r="BA65" t="str">
        <f>IFERROR(VLOOKUP(MainTbl[[#This Row],[solvent_3_smiles]],SolvTbl[],MATCH("Solvent",SolvTbl[#Headers],0),FALSE),"")</f>
        <v/>
      </c>
      <c r="BB65">
        <f>--(MainTbl[[#This Row],[solv_1_ratio]]&gt;0)+--(MainTbl[[#This Row],[solv_2_ratio]]&gt;0)+--(MainTbl[[#This Row],[solv_3_ratio]]&gt;0)</f>
        <v>2</v>
      </c>
      <c r="BC65" t="str">
        <f>IF(AND(MainTbl[[#This Row],[SaltName1]]&lt;&gt;"",MainTbl[[#This Row],[salt_1_conc]]&gt;0),TEXT(MainTbl[[#This Row],[salt_1_conc]],"0.###")&amp;" M "&amp;MainTbl[[#This Row],[SaltName1]],"")</f>
        <v>10. M LiFSI</v>
      </c>
      <c r="BD65" t="str">
        <f>IF(AND(MainTbl[[#This Row],[SaltName2]]&lt;&gt;"",MainTbl[[#This Row],[salt_2_conc]]&gt;0),TEXT(MainTbl[[#This Row],[salt_2_conc]],"0.###")&amp;" M "&amp;MainTbl[[#This Row],[SaltName2]],"")</f>
        <v/>
      </c>
      <c r="BE6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10. M LiFSI</v>
      </c>
      <c r="BF65" t="str">
        <f>IF(MainTbl[[#This Row],[SolvCount]]=1,MainTbl[[#This Row],[SolvName1]],IF(MainTbl[[#This Row],[solv_1_ratio]]&gt;0,MainTbl[[#This Row],[SolvName1]]&amp;" "&amp;TEXT(MainTbl[[#This Row],[solv_1_ratio]]*100,"0.##")&amp;"%",""))</f>
        <v>AN (CH3CN) 87.5%</v>
      </c>
      <c r="BG65" t="str">
        <f>IF(MainTbl[[#This Row],[SolvCount]]=1,MainTbl[[#This Row],[SolvName2]],IF(MainTbl[[#This Row],[solv_2_ratio]]&gt;0,MainTbl[[#This Row],[SolvName2]]&amp;" "&amp;TEXT(MainTbl[[#This Row],[solv_2_ratio]]*100,"0.##")&amp;"%",""))</f>
        <v>Ethylene carbonate 12.5%</v>
      </c>
      <c r="BH6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AN (CH3CN) 87.5% + Ethylene carbonate 12.5%</v>
      </c>
      <c r="BJ65" t="str">
        <f>TRIM(_xlfn.CONCAT(MainTbl[[#This Row],[Salt_text]]," ",MainTbl[[#This Row],[Solvent_text]]))</f>
        <v>10. M LiFSI AN (CH3CN) 87.5% + Ethylene carbonate 12.5%</v>
      </c>
    </row>
    <row r="66" spans="1:62" x14ac:dyDescent="0.25">
      <c r="A66" t="s">
        <v>27</v>
      </c>
      <c r="D66" t="s">
        <v>22</v>
      </c>
      <c r="G66">
        <v>1</v>
      </c>
      <c r="H66">
        <v>0</v>
      </c>
      <c r="I66">
        <v>0</v>
      </c>
      <c r="J66">
        <v>5.5</v>
      </c>
      <c r="K66">
        <v>0</v>
      </c>
      <c r="L66">
        <v>0.99199999999999999</v>
      </c>
      <c r="M66">
        <f t="shared" si="0"/>
        <v>99.2</v>
      </c>
      <c r="N66">
        <f t="shared" si="1"/>
        <v>2.0969100130080562</v>
      </c>
      <c r="O66">
        <f>IFERROR(MainTbl[[#This Row],[solv_1_ratio]]*VLOOKUP(MainTbl[[#This Row],[solvent_1_smiles]],SolvTbl[],13,FALSE),0)</f>
        <v>11.878594107329203</v>
      </c>
      <c r="P66">
        <f>IFERROR(MainTbl[[#This Row],[solv_2_ratio]]*VLOOKUP(MainTbl[[#This Row],[solvent_2_smiles]],SolvTbl[],13,FALSE),0)</f>
        <v>0</v>
      </c>
      <c r="Q66">
        <f>IFERROR(MainTbl[[#This Row],[solv_3_ratio]]*VLOOKUP(MainTbl[[#This Row],[solvent_3_smiles]],SolvTbl[],13,FALSE),0)</f>
        <v>0</v>
      </c>
      <c r="R66">
        <f>IFERROR(MainTbl[[#This Row],[salt_1_conc]],0)</f>
        <v>5.5</v>
      </c>
      <c r="S66">
        <f>IFERROR(MainTbl[[#This Row],[salt_2_conc]],0)</f>
        <v>0</v>
      </c>
      <c r="T6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35.635782321987605</v>
      </c>
      <c r="U6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22</v>
      </c>
      <c r="V66">
        <f>MainTbl[[#This Row],[O_from_solvents]]+MainTbl[[#This Row],[O_from_salts]]</f>
        <v>57.635782321987605</v>
      </c>
      <c r="W6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35.635782321987605</v>
      </c>
      <c r="X6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6">
        <f>MainTbl[[#This Row],[C_from_solvents]]+MainTbl[[#This Row],[C_from_salts]]</f>
        <v>35.635782321987605</v>
      </c>
      <c r="Z6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6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11</v>
      </c>
      <c r="AB66">
        <f>MainTbl[[#This Row],[F_from_solvents]]+MainTbl[[#This Row],[F_from_salts]]</f>
        <v>11</v>
      </c>
      <c r="AC6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71.271564643975211</v>
      </c>
      <c r="AD6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6">
        <f>MainTbl[[#This Row],[H_from_solvents]]+MainTbl[[#This Row],[H_from_salts]]</f>
        <v>71.271564643975211</v>
      </c>
      <c r="AF6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5.5</v>
      </c>
      <c r="AH66">
        <f>MainTbl[[#This Row],[Li_from_solvents]]+MainTbl[[#This Row],[Li_from_salts]]</f>
        <v>5.5</v>
      </c>
      <c r="AI6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197.54312928795042</v>
      </c>
      <c r="AJ66" s="2">
        <f>IFERROR(MainTbl[[#This Row],[O_total]]/MainTbl[[#This Row],[TotalAtoms_all]],0)</f>
        <v>0.29176303184898078</v>
      </c>
      <c r="AK66" s="2">
        <f>IFERROR(MainTbl[[#This Row],[O_from_solvents]]/MainTbl[[#This Row],[TotalAtoms_all]],0)</f>
        <v>0.18039494691836538</v>
      </c>
      <c r="AL66" s="2">
        <f>IFERROR(MainTbl[[#This Row],[O_from_salts]]/MainTbl[[#This Row],[TotalAtoms_all]],0)</f>
        <v>0.1113680849306154</v>
      </c>
      <c r="AM66" s="2">
        <f>IFERROR(MainTbl[[#This Row],[C_total]]/MainTbl[[#This Row],[TotalAtoms_all]],0)</f>
        <v>0.18039494691836538</v>
      </c>
      <c r="AN66" s="2">
        <f>IFERROR(MainTbl[[#This Row],[C_from_solvents]]/MainTbl[[#This Row],[TotalAtoms_all]],0)</f>
        <v>0.18039494691836538</v>
      </c>
      <c r="AO66" s="2">
        <f>IFERROR(MainTbl[[#This Row],[C_from_salts]]/MainTbl[[#This Row],[TotalAtoms_all]],0)</f>
        <v>0</v>
      </c>
      <c r="AP66" s="2">
        <f>IFERROR(MainTbl[[#This Row],[F_total]]/MainTbl[[#This Row],[TotalAtoms_all]],0)</f>
        <v>5.5684042465307698E-2</v>
      </c>
      <c r="AQ66" s="2">
        <f>IFERROR(MainTbl[[#This Row],[F_from_solvents]]/MainTbl[[#This Row],[TotalAtoms_all]],0)</f>
        <v>0</v>
      </c>
      <c r="AR66" s="2">
        <f>IFERROR(MainTbl[[#This Row],[F_from_salts]]/MainTbl[[#This Row],[TotalAtoms_all]],0)</f>
        <v>5.5684042465307698E-2</v>
      </c>
      <c r="AS66" s="2">
        <f>IFERROR(MainTbl[[#This Row],[F_total]]/MainTbl[[#This Row],[O_total]],0)</f>
        <v>0.19085365994596007</v>
      </c>
      <c r="AT66" s="2">
        <f>IFERROR(MainTbl[[#This Row],[F_total]]/MainTbl[[#This Row],[C_total]],0)</f>
        <v>0.30867850467289726</v>
      </c>
      <c r="AU66" s="2">
        <f>IFERROR(MainTbl[[#This Row],[O_total]]/MainTbl[[#This Row],[C_total]],0)</f>
        <v>1.6173570093457945</v>
      </c>
      <c r="AV66" s="2">
        <f>IFERROR((MainTbl[[#This Row],[TotalAtoms_all]]-(MainTbl[[#This Row],[C_total]]+MainTbl[[#This Row],[H_total]]+MainTbl[[#This Row],[Li_total]]))/MainTbl[[#This Row],[C_total]],0)</f>
        <v>2.3890532710280374</v>
      </c>
      <c r="AW66" t="str">
        <f>IFERROR(VLOOKUP(MainTbl[[#This Row],[salt_1_smiles]],SaltTbl[],MATCH("Salt",SaltTbl[#Headers],0),FALSE),"")</f>
        <v>LiFSI</v>
      </c>
      <c r="AX66" t="str">
        <f>IFERROR(VLOOKUP(MainTbl[[#This Row],[salt_2_smiles]],SaltTbl[],MATCH("Salt",SaltTbl[#Headers],0),FALSE),"")</f>
        <v/>
      </c>
      <c r="AY66" t="str">
        <f>IFERROR(VLOOKUP(MainTbl[[#This Row],[solvent_1_smiles]],SolvTbl[],MATCH("Solvent",SolvTbl[#Headers],0),FALSE),"")</f>
        <v>DMC (C3H6O3)</v>
      </c>
      <c r="AZ66" t="str">
        <f>IFERROR(VLOOKUP(MainTbl[[#This Row],[solvent_2_smiles]],SolvTbl[],MATCH("Solvent",SolvTbl[#Headers],0),FALSE),"")</f>
        <v/>
      </c>
      <c r="BA66" t="str">
        <f>IFERROR(VLOOKUP(MainTbl[[#This Row],[solvent_3_smiles]],SolvTbl[],MATCH("Solvent",SolvTbl[#Headers],0),FALSE),"")</f>
        <v/>
      </c>
      <c r="BB66">
        <f>--(MainTbl[[#This Row],[solv_1_ratio]]&gt;0)+--(MainTbl[[#This Row],[solv_2_ratio]]&gt;0)+--(MainTbl[[#This Row],[solv_3_ratio]]&gt;0)</f>
        <v>1</v>
      </c>
      <c r="BC66" t="str">
        <f>IF(AND(MainTbl[[#This Row],[SaltName1]]&lt;&gt;"",MainTbl[[#This Row],[salt_1_conc]]&gt;0),TEXT(MainTbl[[#This Row],[salt_1_conc]],"0.###")&amp;" M "&amp;MainTbl[[#This Row],[SaltName1]],"")</f>
        <v>5.5 M LiFSI</v>
      </c>
      <c r="BD66" t="str">
        <f>IF(AND(MainTbl[[#This Row],[SaltName2]]&lt;&gt;"",MainTbl[[#This Row],[salt_2_conc]]&gt;0),TEXT(MainTbl[[#This Row],[salt_2_conc]],"0.###")&amp;" M "&amp;MainTbl[[#This Row],[SaltName2]],"")</f>
        <v/>
      </c>
      <c r="BE6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5.5 M LiFSI</v>
      </c>
      <c r="BF66" t="str">
        <f>IF(MainTbl[[#This Row],[SolvCount]]=1,MainTbl[[#This Row],[SolvName1]],IF(MainTbl[[#This Row],[solv_1_ratio]]&gt;0,MainTbl[[#This Row],[SolvName1]]&amp;" "&amp;TEXT(MainTbl[[#This Row],[solv_1_ratio]]*100,"0.##")&amp;"%",""))</f>
        <v>DMC (C3H6O3)</v>
      </c>
      <c r="BG66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6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DMC (C3H6O3)</v>
      </c>
      <c r="BJ66" t="str">
        <f>TRIM(_xlfn.CONCAT(MainTbl[[#This Row],[Salt_text]]," ",MainTbl[[#This Row],[Solvent_text]]))</f>
        <v>5.5 M LiFSI DMC (C3H6O3)</v>
      </c>
    </row>
    <row r="67" spans="1:62" x14ac:dyDescent="0.25">
      <c r="A67" t="s">
        <v>46</v>
      </c>
      <c r="B67" t="s">
        <v>31</v>
      </c>
      <c r="D67" t="s">
        <v>22</v>
      </c>
      <c r="G67">
        <v>0.25</v>
      </c>
      <c r="H67">
        <v>0.75</v>
      </c>
      <c r="I67">
        <v>0</v>
      </c>
      <c r="J67">
        <v>1.2</v>
      </c>
      <c r="K67">
        <v>0</v>
      </c>
      <c r="L67">
        <v>0.99199999999999999</v>
      </c>
      <c r="M67">
        <f t="shared" ref="M67:M130" si="2">(L67*100)</f>
        <v>99.2</v>
      </c>
      <c r="N67">
        <f t="shared" ref="N67:N130" si="3">-LOG10(1-L67)</f>
        <v>2.0969100130080562</v>
      </c>
      <c r="O67">
        <f>IFERROR(MainTbl[[#This Row],[solv_1_ratio]]*VLOOKUP(MainTbl[[#This Row],[solvent_1_smiles]],SolvTbl[],13,FALSE),0)</f>
        <v>1.4712906183263521</v>
      </c>
      <c r="P67">
        <f>IFERROR(MainTbl[[#This Row],[solv_2_ratio]]*VLOOKUP(MainTbl[[#This Row],[solvent_2_smiles]],SolvTbl[],13,FALSE),0)</f>
        <v>5.7669493387231423</v>
      </c>
      <c r="Q67">
        <f>IFERROR(MainTbl[[#This Row],[solv_3_ratio]]*VLOOKUP(MainTbl[[#This Row],[solvent_3_smiles]],SolvTbl[],13,FALSE),0)</f>
        <v>0</v>
      </c>
      <c r="R67">
        <f>IFERROR(MainTbl[[#This Row],[salt_1_conc]],0)</f>
        <v>1.2</v>
      </c>
      <c r="S67">
        <f>IFERROR(MainTbl[[#This Row],[salt_2_conc]],0)</f>
        <v>0</v>
      </c>
      <c r="T6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11.652111812028551</v>
      </c>
      <c r="U6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67">
        <f>MainTbl[[#This Row],[O_from_solvents]]+MainTbl[[#This Row],[O_from_salts]]</f>
        <v>16.452111812028551</v>
      </c>
      <c r="W6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31.895541064850683</v>
      </c>
      <c r="X6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7">
        <f>MainTbl[[#This Row],[C_from_solvents]]+MainTbl[[#This Row],[C_from_salts]]</f>
        <v>31.895541064850683</v>
      </c>
      <c r="Z6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34.60169603233885</v>
      </c>
      <c r="AA6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67">
        <f>MainTbl[[#This Row],[F_from_solvents]]+MainTbl[[#This Row],[F_from_salts]]</f>
        <v>37.001696032338849</v>
      </c>
      <c r="AC6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45.137156629787853</v>
      </c>
      <c r="AD6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7">
        <f>MainTbl[[#This Row],[H_from_solvents]]+MainTbl[[#This Row],[H_from_salts]]</f>
        <v>45.137156629787853</v>
      </c>
      <c r="AF6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67">
        <f>MainTbl[[#This Row],[Li_from_solvents]]+MainTbl[[#This Row],[Li_from_salts]]</f>
        <v>1.2</v>
      </c>
      <c r="AI6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136.75779615733228</v>
      </c>
      <c r="AJ67" s="2">
        <f>IFERROR(MainTbl[[#This Row],[O_total]]/MainTbl[[#This Row],[TotalAtoms_all]],0)</f>
        <v>0.12030108903701042</v>
      </c>
      <c r="AK67" s="2">
        <f>IFERROR(MainTbl[[#This Row],[O_from_solvents]]/MainTbl[[#This Row],[TotalAtoms_all]],0)</f>
        <v>8.5202541569355514E-2</v>
      </c>
      <c r="AL67" s="2">
        <f>IFERROR(MainTbl[[#This Row],[O_from_salts]]/MainTbl[[#This Row],[TotalAtoms_all]],0)</f>
        <v>3.5098547467654902E-2</v>
      </c>
      <c r="AM67" s="2">
        <f>IFERROR(MainTbl[[#This Row],[C_total]]/MainTbl[[#This Row],[TotalAtoms_all]],0)</f>
        <v>0.2332264920981662</v>
      </c>
      <c r="AN67" s="2">
        <f>IFERROR(MainTbl[[#This Row],[C_from_solvents]]/MainTbl[[#This Row],[TotalAtoms_all]],0)</f>
        <v>0.2332264920981662</v>
      </c>
      <c r="AO67" s="2">
        <f>IFERROR(MainTbl[[#This Row],[C_from_salts]]/MainTbl[[#This Row],[TotalAtoms_all]],0)</f>
        <v>0</v>
      </c>
      <c r="AP67" s="2">
        <f>IFERROR(MainTbl[[#This Row],[F_total]]/MainTbl[[#This Row],[TotalAtoms_all]],0)</f>
        <v>0.27056370511974648</v>
      </c>
      <c r="AQ67" s="2">
        <f>IFERROR(MainTbl[[#This Row],[F_from_solvents]]/MainTbl[[#This Row],[TotalAtoms_all]],0)</f>
        <v>0.25301443138591906</v>
      </c>
      <c r="AR67" s="2">
        <f>IFERROR(MainTbl[[#This Row],[F_from_salts]]/MainTbl[[#This Row],[TotalAtoms_all]],0)</f>
        <v>1.7549273733827451E-2</v>
      </c>
      <c r="AS67" s="2">
        <f>IFERROR(MainTbl[[#This Row],[F_total]]/MainTbl[[#This Row],[O_total]],0)</f>
        <v>2.2490544955624467</v>
      </c>
      <c r="AT67" s="2">
        <f>IFERROR(MainTbl[[#This Row],[F_total]]/MainTbl[[#This Row],[C_total]],0)</f>
        <v>1.1600899309751862</v>
      </c>
      <c r="AU67" s="2">
        <f>IFERROR(MainTbl[[#This Row],[O_total]]/MainTbl[[#This Row],[C_total]],0)</f>
        <v>0.51581228167842563</v>
      </c>
      <c r="AV67" s="2">
        <f>IFERROR((MainTbl[[#This Row],[TotalAtoms_all]]-(MainTbl[[#This Row],[C_total]]+MainTbl[[#This Row],[H_total]]+MainTbl[[#This Row],[Li_total]]))/MainTbl[[#This Row],[C_total]],0)</f>
        <v>1.8348990645337946</v>
      </c>
      <c r="AW67" t="str">
        <f>IFERROR(VLOOKUP(MainTbl[[#This Row],[salt_1_smiles]],SaltTbl[],MATCH("Salt",SaltTbl[#Headers],0),FALSE),"")</f>
        <v>LiFSI</v>
      </c>
      <c r="AX67" t="str">
        <f>IFERROR(VLOOKUP(MainTbl[[#This Row],[salt_2_smiles]],SaltTbl[],MATCH("Salt",SaltTbl[#Headers],0),FALSE),"")</f>
        <v/>
      </c>
      <c r="AY67" t="str">
        <f>IFERROR(VLOOKUP(MainTbl[[#This Row],[solvent_1_smiles]],SolvTbl[],MATCH("Solvent",SolvTbl[#Headers],0),FALSE),"")</f>
        <v>TEP (C6H15O4P)</v>
      </c>
      <c r="AZ67" t="str">
        <f>IFERROR(VLOOKUP(MainTbl[[#This Row],[solvent_2_smiles]],SolvTbl[],MATCH("Solvent",SolvTbl[#Headers],0),FALSE),"")</f>
        <v>Flurothyl</v>
      </c>
      <c r="BA67" t="str">
        <f>IFERROR(VLOOKUP(MainTbl[[#This Row],[solvent_3_smiles]],SolvTbl[],MATCH("Solvent",SolvTbl[#Headers],0),FALSE),"")</f>
        <v/>
      </c>
      <c r="BB67">
        <f>--(MainTbl[[#This Row],[solv_1_ratio]]&gt;0)+--(MainTbl[[#This Row],[solv_2_ratio]]&gt;0)+--(MainTbl[[#This Row],[solv_3_ratio]]&gt;0)</f>
        <v>2</v>
      </c>
      <c r="BC67" t="str">
        <f>IF(AND(MainTbl[[#This Row],[SaltName1]]&lt;&gt;"",MainTbl[[#This Row],[salt_1_conc]]&gt;0),TEXT(MainTbl[[#This Row],[salt_1_conc]],"0.###")&amp;" M "&amp;MainTbl[[#This Row],[SaltName1]],"")</f>
        <v>1.2 M LiFSI</v>
      </c>
      <c r="BD67" t="str">
        <f>IF(AND(MainTbl[[#This Row],[SaltName2]]&lt;&gt;"",MainTbl[[#This Row],[salt_2_conc]]&gt;0),TEXT(MainTbl[[#This Row],[salt_2_conc]],"0.###")&amp;" M "&amp;MainTbl[[#This Row],[SaltName2]],"")</f>
        <v/>
      </c>
      <c r="BE6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67" t="str">
        <f>IF(MainTbl[[#This Row],[SolvCount]]=1,MainTbl[[#This Row],[SolvName1]],IF(MainTbl[[#This Row],[solv_1_ratio]]&gt;0,MainTbl[[#This Row],[SolvName1]]&amp;" "&amp;TEXT(MainTbl[[#This Row],[solv_1_ratio]]*100,"0.##")&amp;"%",""))</f>
        <v>TEP (C6H15O4P) 25.%</v>
      </c>
      <c r="BG67" t="str">
        <f>IF(MainTbl[[#This Row],[SolvCount]]=1,MainTbl[[#This Row],[SolvName2]],IF(MainTbl[[#This Row],[solv_2_ratio]]&gt;0,MainTbl[[#This Row],[SolvName2]]&amp;" "&amp;TEXT(MainTbl[[#This Row],[solv_2_ratio]]*100,"0.##")&amp;"%",""))</f>
        <v>Flurothyl 75.%</v>
      </c>
      <c r="BH6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TEP (C6H15O4P) 25.% + Flurothyl 75.%</v>
      </c>
      <c r="BJ67" t="str">
        <f>TRIM(_xlfn.CONCAT(MainTbl[[#This Row],[Salt_text]]," ",MainTbl[[#This Row],[Solvent_text]]))</f>
        <v>1.2 M LiFSI TEP (C6H15O4P) 25.% + Flurothyl 75.%</v>
      </c>
    </row>
    <row r="68" spans="1:62" x14ac:dyDescent="0.25">
      <c r="A68" t="s">
        <v>27</v>
      </c>
      <c r="B68" t="s">
        <v>31</v>
      </c>
      <c r="D68" t="s">
        <v>22</v>
      </c>
      <c r="G68">
        <v>0.25</v>
      </c>
      <c r="H68">
        <v>0.75</v>
      </c>
      <c r="I68">
        <v>0</v>
      </c>
      <c r="J68">
        <v>1.2</v>
      </c>
      <c r="K68">
        <v>0</v>
      </c>
      <c r="L68">
        <v>0.99299999999999999</v>
      </c>
      <c r="M68">
        <f t="shared" si="2"/>
        <v>99.3</v>
      </c>
      <c r="N68">
        <f t="shared" si="3"/>
        <v>2.1549019599857426</v>
      </c>
      <c r="O68">
        <f>IFERROR(MainTbl[[#This Row],[solv_1_ratio]]*VLOOKUP(MainTbl[[#This Row],[solvent_1_smiles]],SolvTbl[],13,FALSE),0)</f>
        <v>2.9696485268323007</v>
      </c>
      <c r="P68">
        <f>IFERROR(MainTbl[[#This Row],[solv_2_ratio]]*VLOOKUP(MainTbl[[#This Row],[solvent_2_smiles]],SolvTbl[],13,FALSE),0)</f>
        <v>5.7669493387231423</v>
      </c>
      <c r="Q68">
        <f>IFERROR(MainTbl[[#This Row],[solv_3_ratio]]*VLOOKUP(MainTbl[[#This Row],[solvent_3_smiles]],SolvTbl[],13,FALSE),0)</f>
        <v>0</v>
      </c>
      <c r="R68">
        <f>IFERROR(MainTbl[[#This Row],[salt_1_conc]],0)</f>
        <v>1.2</v>
      </c>
      <c r="S68">
        <f>IFERROR(MainTbl[[#This Row],[salt_2_conc]],0)</f>
        <v>0</v>
      </c>
      <c r="T6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14.675894919220044</v>
      </c>
      <c r="U6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68">
        <f>MainTbl[[#This Row],[O_from_solvents]]+MainTbl[[#This Row],[O_from_salts]]</f>
        <v>19.475894919220043</v>
      </c>
      <c r="W6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31.976742935389471</v>
      </c>
      <c r="X6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68">
        <f>MainTbl[[#This Row],[C_from_solvents]]+MainTbl[[#This Row],[C_from_salts]]</f>
        <v>31.976742935389471</v>
      </c>
      <c r="Z6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34.60169603233885</v>
      </c>
      <c r="AA6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68">
        <f>MainTbl[[#This Row],[F_from_solvents]]+MainTbl[[#This Row],[F_from_salts]]</f>
        <v>37.001696032338849</v>
      </c>
      <c r="AC6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40.885688515886372</v>
      </c>
      <c r="AD6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8">
        <f>MainTbl[[#This Row],[H_from_solvents]]+MainTbl[[#This Row],[H_from_salts]]</f>
        <v>40.885688515886372</v>
      </c>
      <c r="AF6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68">
        <f>MainTbl[[#This Row],[Li_from_solvents]]+MainTbl[[#This Row],[Li_from_salts]]</f>
        <v>1.2</v>
      </c>
      <c r="AI6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134.14002240283475</v>
      </c>
      <c r="AJ68" s="2">
        <f>IFERROR(MainTbl[[#This Row],[O_total]]/MainTbl[[#This Row],[TotalAtoms_all]],0)</f>
        <v>0.14519078326028714</v>
      </c>
      <c r="AK68" s="2">
        <f>IFERROR(MainTbl[[#This Row],[O_from_solvents]]/MainTbl[[#This Row],[TotalAtoms_all]],0)</f>
        <v>0.10940727947060416</v>
      </c>
      <c r="AL68" s="2">
        <f>IFERROR(MainTbl[[#This Row],[O_from_salts]]/MainTbl[[#This Row],[TotalAtoms_all]],0)</f>
        <v>3.5783503789683001E-2</v>
      </c>
      <c r="AM68" s="2">
        <f>IFERROR(MainTbl[[#This Row],[C_total]]/MainTbl[[#This Row],[TotalAtoms_all]],0)</f>
        <v>0.23838331291879755</v>
      </c>
      <c r="AN68" s="2">
        <f>IFERROR(MainTbl[[#This Row],[C_from_solvents]]/MainTbl[[#This Row],[TotalAtoms_all]],0)</f>
        <v>0.23838331291879755</v>
      </c>
      <c r="AO68" s="2">
        <f>IFERROR(MainTbl[[#This Row],[C_from_salts]]/MainTbl[[#This Row],[TotalAtoms_all]],0)</f>
        <v>0</v>
      </c>
      <c r="AP68" s="2">
        <f>IFERROR(MainTbl[[#This Row],[F_total]]/MainTbl[[#This Row],[TotalAtoms_all]],0)</f>
        <v>0.27584381879122827</v>
      </c>
      <c r="AQ68" s="2">
        <f>IFERROR(MainTbl[[#This Row],[F_from_solvents]]/MainTbl[[#This Row],[TotalAtoms_all]],0)</f>
        <v>0.25795206689638678</v>
      </c>
      <c r="AR68" s="2">
        <f>IFERROR(MainTbl[[#This Row],[F_from_salts]]/MainTbl[[#This Row],[TotalAtoms_all]],0)</f>
        <v>1.78917518948415E-2</v>
      </c>
      <c r="AS68" s="2">
        <f>IFERROR(MainTbl[[#This Row],[F_total]]/MainTbl[[#This Row],[O_total]],0)</f>
        <v>1.8998714146800637</v>
      </c>
      <c r="AT68" s="2">
        <f>IFERROR(MainTbl[[#This Row],[F_total]]/MainTbl[[#This Row],[C_total]],0)</f>
        <v>1.1571439939052748</v>
      </c>
      <c r="AU68" s="2">
        <f>IFERROR(MainTbl[[#This Row],[O_total]]/MainTbl[[#This Row],[C_total]],0)</f>
        <v>0.60906437402245794</v>
      </c>
      <c r="AV68" s="2">
        <f>IFERROR((MainTbl[[#This Row],[TotalAtoms_all]]-(MainTbl[[#This Row],[C_total]]+MainTbl[[#This Row],[H_total]]+MainTbl[[#This Row],[Li_total]]))/MainTbl[[#This Row],[C_total]],0)</f>
        <v>1.8787901905127902</v>
      </c>
      <c r="AW68" t="str">
        <f>IFERROR(VLOOKUP(MainTbl[[#This Row],[salt_1_smiles]],SaltTbl[],MATCH("Salt",SaltTbl[#Headers],0),FALSE),"")</f>
        <v>LiFSI</v>
      </c>
      <c r="AX68" t="str">
        <f>IFERROR(VLOOKUP(MainTbl[[#This Row],[salt_2_smiles]],SaltTbl[],MATCH("Salt",SaltTbl[#Headers],0),FALSE),"")</f>
        <v/>
      </c>
      <c r="AY68" t="str">
        <f>IFERROR(VLOOKUP(MainTbl[[#This Row],[solvent_1_smiles]],SolvTbl[],MATCH("Solvent",SolvTbl[#Headers],0),FALSE),"")</f>
        <v>DMC (C3H6O3)</v>
      </c>
      <c r="AZ68" t="str">
        <f>IFERROR(VLOOKUP(MainTbl[[#This Row],[solvent_2_smiles]],SolvTbl[],MATCH("Solvent",SolvTbl[#Headers],0),FALSE),"")</f>
        <v>Flurothyl</v>
      </c>
      <c r="BA68" t="str">
        <f>IFERROR(VLOOKUP(MainTbl[[#This Row],[solvent_3_smiles]],SolvTbl[],MATCH("Solvent",SolvTbl[#Headers],0),FALSE),"")</f>
        <v/>
      </c>
      <c r="BB68">
        <f>--(MainTbl[[#This Row],[solv_1_ratio]]&gt;0)+--(MainTbl[[#This Row],[solv_2_ratio]]&gt;0)+--(MainTbl[[#This Row],[solv_3_ratio]]&gt;0)</f>
        <v>2</v>
      </c>
      <c r="BC68" t="str">
        <f>IF(AND(MainTbl[[#This Row],[SaltName1]]&lt;&gt;"",MainTbl[[#This Row],[salt_1_conc]]&gt;0),TEXT(MainTbl[[#This Row],[salt_1_conc]],"0.###")&amp;" M "&amp;MainTbl[[#This Row],[SaltName1]],"")</f>
        <v>1.2 M LiFSI</v>
      </c>
      <c r="BD68" t="str">
        <f>IF(AND(MainTbl[[#This Row],[SaltName2]]&lt;&gt;"",MainTbl[[#This Row],[salt_2_conc]]&gt;0),TEXT(MainTbl[[#This Row],[salt_2_conc]],"0.###")&amp;" M "&amp;MainTbl[[#This Row],[SaltName2]],"")</f>
        <v/>
      </c>
      <c r="BE6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68" t="str">
        <f>IF(MainTbl[[#This Row],[SolvCount]]=1,MainTbl[[#This Row],[SolvName1]],IF(MainTbl[[#This Row],[solv_1_ratio]]&gt;0,MainTbl[[#This Row],[SolvName1]]&amp;" "&amp;TEXT(MainTbl[[#This Row],[solv_1_ratio]]*100,"0.##")&amp;"%",""))</f>
        <v>DMC (C3H6O3) 25.%</v>
      </c>
      <c r="BG68" t="str">
        <f>IF(MainTbl[[#This Row],[SolvCount]]=1,MainTbl[[#This Row],[SolvName2]],IF(MainTbl[[#This Row],[solv_2_ratio]]&gt;0,MainTbl[[#This Row],[SolvName2]]&amp;" "&amp;TEXT(MainTbl[[#This Row],[solv_2_ratio]]*100,"0.##")&amp;"%",""))</f>
        <v>Flurothyl 75.%</v>
      </c>
      <c r="BH6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DMC (C3H6O3) 25.% + Flurothyl 75.%</v>
      </c>
      <c r="BJ68" t="str">
        <f>TRIM(_xlfn.CONCAT(MainTbl[[#This Row],[Salt_text]]," ",MainTbl[[#This Row],[Solvent_text]]))</f>
        <v>1.2 M LiFSI DMC (C3H6O3) 25.% + Flurothyl 75.%</v>
      </c>
    </row>
    <row r="69" spans="1:62" x14ac:dyDescent="0.25">
      <c r="A69" t="s">
        <v>20</v>
      </c>
      <c r="B69" t="s">
        <v>18</v>
      </c>
      <c r="D69" t="s">
        <v>23</v>
      </c>
      <c r="F69" t="s">
        <v>33</v>
      </c>
      <c r="G69">
        <v>0.5</v>
      </c>
      <c r="H69">
        <v>0.5</v>
      </c>
      <c r="I69">
        <v>0</v>
      </c>
      <c r="J69">
        <v>1</v>
      </c>
      <c r="K69">
        <v>0</v>
      </c>
      <c r="L69">
        <v>0.99</v>
      </c>
      <c r="M69">
        <f t="shared" si="2"/>
        <v>99</v>
      </c>
      <c r="N69">
        <f t="shared" si="3"/>
        <v>1.9999999999999996</v>
      </c>
      <c r="O69">
        <f>IFERROR(MainTbl[[#This Row],[solv_1_ratio]]*VLOOKUP(MainTbl[[#This Row],[solvent_1_smiles]],SolvTbl[],13,FALSE),0)</f>
        <v>7.1546208050973297</v>
      </c>
      <c r="P69">
        <f>IFERROR(MainTbl[[#This Row],[solv_2_ratio]]*VLOOKUP(MainTbl[[#This Row],[solvent_2_smiles]],SolvTbl[],13,FALSE),0)</f>
        <v>4.8158011540168655</v>
      </c>
      <c r="Q69">
        <f>IFERROR(MainTbl[[#This Row],[solv_3_ratio]]*VLOOKUP(MainTbl[[#This Row],[solvent_3_smiles]],SolvTbl[],13,FALSE),0)</f>
        <v>0</v>
      </c>
      <c r="R69">
        <f>IFERROR(MainTbl[[#This Row],[salt_1_conc]],0)</f>
        <v>1</v>
      </c>
      <c r="S69">
        <f>IFERROR(MainTbl[[#This Row],[salt_2_conc]],0)</f>
        <v>0</v>
      </c>
      <c r="T6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23.940843918228389</v>
      </c>
      <c r="U6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69">
        <f>MainTbl[[#This Row],[O_from_solvents]]+MainTbl[[#This Row],[O_from_salts]]</f>
        <v>27.940843918228389</v>
      </c>
      <c r="W6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40.727067031359454</v>
      </c>
      <c r="X6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2</v>
      </c>
      <c r="Y69">
        <f>MainTbl[[#This Row],[C_from_solvents]]+MainTbl[[#This Row],[C_from_salts]]</f>
        <v>42.727067031359454</v>
      </c>
      <c r="Z6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6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69">
        <f>MainTbl[[#This Row],[F_from_solvents]]+MainTbl[[#This Row],[F_from_salts]]</f>
        <v>6</v>
      </c>
      <c r="AC6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91.085736370752642</v>
      </c>
      <c r="AD6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69">
        <f>MainTbl[[#This Row],[H_from_solvents]]+MainTbl[[#This Row],[H_from_salts]]</f>
        <v>91.085736370752642</v>
      </c>
      <c r="AF6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6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69">
        <f>MainTbl[[#This Row],[Li_from_solvents]]+MainTbl[[#This Row],[Li_from_salts]]</f>
        <v>1</v>
      </c>
      <c r="AI6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171.75364732034046</v>
      </c>
      <c r="AJ69" s="2">
        <f>IFERROR(MainTbl[[#This Row],[O_total]]/MainTbl[[#This Row],[TotalAtoms_all]],0)</f>
        <v>0.16267977043954981</v>
      </c>
      <c r="AK69" s="2">
        <f>IFERROR(MainTbl[[#This Row],[O_from_solvents]]/MainTbl[[#This Row],[TotalAtoms_all]],0)</f>
        <v>0.13939059980237822</v>
      </c>
      <c r="AL69" s="2">
        <f>IFERROR(MainTbl[[#This Row],[O_from_salts]]/MainTbl[[#This Row],[TotalAtoms_all]],0)</f>
        <v>2.3289170637171602E-2</v>
      </c>
      <c r="AM69" s="2">
        <f>IFERROR(MainTbl[[#This Row],[C_total]]/MainTbl[[#This Row],[TotalAtoms_all]],0)</f>
        <v>0.24876948872979984</v>
      </c>
      <c r="AN69" s="2">
        <f>IFERROR(MainTbl[[#This Row],[C_from_solvents]]/MainTbl[[#This Row],[TotalAtoms_all]],0)</f>
        <v>0.23712490341121403</v>
      </c>
      <c r="AO69" s="2">
        <f>IFERROR(MainTbl[[#This Row],[C_from_salts]]/MainTbl[[#This Row],[TotalAtoms_all]],0)</f>
        <v>1.1644585318585801E-2</v>
      </c>
      <c r="AP69" s="2">
        <f>IFERROR(MainTbl[[#This Row],[F_total]]/MainTbl[[#This Row],[TotalAtoms_all]],0)</f>
        <v>3.4933755955757401E-2</v>
      </c>
      <c r="AQ69" s="2">
        <f>IFERROR(MainTbl[[#This Row],[F_from_solvents]]/MainTbl[[#This Row],[TotalAtoms_all]],0)</f>
        <v>0</v>
      </c>
      <c r="AR69" s="2">
        <f>IFERROR(MainTbl[[#This Row],[F_from_salts]]/MainTbl[[#This Row],[TotalAtoms_all]],0)</f>
        <v>3.4933755955757401E-2</v>
      </c>
      <c r="AS69" s="2">
        <f>IFERROR(MainTbl[[#This Row],[F_total]]/MainTbl[[#This Row],[O_total]],0)</f>
        <v>0.21473939790650515</v>
      </c>
      <c r="AT69" s="2">
        <f>IFERROR(MainTbl[[#This Row],[F_total]]/MainTbl[[#This Row],[C_total]],0)</f>
        <v>0.14042620794908087</v>
      </c>
      <c r="AU69" s="2">
        <f>IFERROR(MainTbl[[#This Row],[O_total]]/MainTbl[[#This Row],[C_total]],0)</f>
        <v>0.65393779305565858</v>
      </c>
      <c r="AV69" s="2">
        <f>IFERROR((MainTbl[[#This Row],[TotalAtoms_all]]-(MainTbl[[#This Row],[C_total]]+MainTbl[[#This Row],[H_total]]+MainTbl[[#This Row],[Li_total]]))/MainTbl[[#This Row],[C_total]],0)</f>
        <v>0.86457710497927964</v>
      </c>
      <c r="AW69" t="str">
        <f>IFERROR(VLOOKUP(MainTbl[[#This Row],[salt_1_smiles]],SaltTbl[],MATCH("Salt",SaltTbl[#Headers],0),FALSE),"")</f>
        <v>LiTFSI</v>
      </c>
      <c r="AX69" t="str">
        <f>IFERROR(VLOOKUP(MainTbl[[#This Row],[salt_2_smiles]],SaltTbl[],MATCH("Salt",SaltTbl[#Headers],0),FALSE),"")</f>
        <v/>
      </c>
      <c r="AY69" t="str">
        <f>IFERROR(VLOOKUP(MainTbl[[#This Row],[solvent_1_smiles]],SolvTbl[],MATCH("Solvent",SolvTbl[#Headers],0),FALSE),"")</f>
        <v>1,3-dioxolane (	C3H6O2)</v>
      </c>
      <c r="AZ69" t="str">
        <f>IFERROR(VLOOKUP(MainTbl[[#This Row],[solvent_2_smiles]],SolvTbl[],MATCH("Solvent",SolvTbl[#Headers],0),FALSE),"")</f>
        <v>DME (C4H10O2)</v>
      </c>
      <c r="BA69" t="str">
        <f>IFERROR(VLOOKUP(MainTbl[[#This Row],[solvent_3_smiles]],SolvTbl[],MATCH("Solvent",SolvTbl[#Headers],0),FALSE),"")</f>
        <v/>
      </c>
      <c r="BB69">
        <f>--(MainTbl[[#This Row],[solv_1_ratio]]&gt;0)+--(MainTbl[[#This Row],[solv_2_ratio]]&gt;0)+--(MainTbl[[#This Row],[solv_3_ratio]]&gt;0)</f>
        <v>2</v>
      </c>
      <c r="BC69" t="str">
        <f>IF(AND(MainTbl[[#This Row],[SaltName1]]&lt;&gt;"",MainTbl[[#This Row],[salt_1_conc]]&gt;0),TEXT(MainTbl[[#This Row],[salt_1_conc]],"0.###")&amp;" M "&amp;MainTbl[[#This Row],[SaltName1]],"")</f>
        <v>1. M LiTFSI</v>
      </c>
      <c r="BD69" t="str">
        <f>IF(AND(MainTbl[[#This Row],[SaltName2]]&lt;&gt;"",MainTbl[[#This Row],[salt_2_conc]]&gt;0),TEXT(MainTbl[[#This Row],[salt_2_conc]],"0.###")&amp;" M "&amp;MainTbl[[#This Row],[SaltName2]],"")</f>
        <v/>
      </c>
      <c r="BE6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LiTFSI</v>
      </c>
      <c r="BF69" t="str">
        <f>IF(MainTbl[[#This Row],[SolvCount]]=1,MainTbl[[#This Row],[SolvName1]],IF(MainTbl[[#This Row],[solv_1_ratio]]&gt;0,MainTbl[[#This Row],[SolvName1]]&amp;" "&amp;TEXT(MainTbl[[#This Row],[solv_1_ratio]]*100,"0.##")&amp;"%",""))</f>
        <v>1,3-dioxolane (	C3H6O2) 50.%</v>
      </c>
      <c r="BG69" t="str">
        <f>IF(MainTbl[[#This Row],[SolvCount]]=1,MainTbl[[#This Row],[SolvName2]],IF(MainTbl[[#This Row],[solv_2_ratio]]&gt;0,MainTbl[[#This Row],[SolvName2]]&amp;" "&amp;TEXT(MainTbl[[#This Row],[solv_2_ratio]]*100,"0.##")&amp;"%",""))</f>
        <v>DME (C4H10O2) 50.%</v>
      </c>
      <c r="BH6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6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1,3-dioxolane (	C3H6O2) 50.% + DME (C4H10O2) 50.%</v>
      </c>
      <c r="BJ69" t="str">
        <f>TRIM(_xlfn.CONCAT(MainTbl[[#This Row],[Salt_text]]," ",MainTbl[[#This Row],[Solvent_text]]))</f>
        <v>1. M LiTFSI 1,3-dioxolane (	C3H6O2) 50.% + DME (C4H10O2) 50.%</v>
      </c>
    </row>
    <row r="70" spans="1:62" x14ac:dyDescent="0.25">
      <c r="A70" t="s">
        <v>47</v>
      </c>
      <c r="B70" t="s">
        <v>24</v>
      </c>
      <c r="D70" t="s">
        <v>29</v>
      </c>
      <c r="G70">
        <v>0.909090909</v>
      </c>
      <c r="H70">
        <v>9.0909090999999997E-2</v>
      </c>
      <c r="I70">
        <v>0</v>
      </c>
      <c r="J70">
        <v>1</v>
      </c>
      <c r="K70">
        <v>0</v>
      </c>
      <c r="L70">
        <v>0.97599999999999998</v>
      </c>
      <c r="M70">
        <f t="shared" si="2"/>
        <v>97.6</v>
      </c>
      <c r="N70">
        <f t="shared" si="3"/>
        <v>1.6197887582883936</v>
      </c>
      <c r="O70">
        <f>IFERROR(MainTbl[[#This Row],[solv_1_ratio]]*VLOOKUP(MainTbl[[#This Row],[solvent_1_smiles]],SolvTbl[],13,FALSE),0)</f>
        <v>7.9404688771748324</v>
      </c>
      <c r="P70">
        <f>IFERROR(MainTbl[[#This Row],[solv_2_ratio]]*VLOOKUP(MainTbl[[#This Row],[solvent_2_smiles]],SolvTbl[],13,FALSE),0)</f>
        <v>1.2463633461632753</v>
      </c>
      <c r="Q70">
        <f>IFERROR(MainTbl[[#This Row],[solv_3_ratio]]*VLOOKUP(MainTbl[[#This Row],[solvent_3_smiles]],SolvTbl[],13,FALSE),0)</f>
        <v>0</v>
      </c>
      <c r="R70">
        <f>IFERROR(MainTbl[[#This Row],[salt_1_conc]],0)</f>
        <v>1</v>
      </c>
      <c r="S70">
        <f>IFERROR(MainTbl[[#This Row],[salt_2_conc]],0)</f>
        <v>0</v>
      </c>
      <c r="T7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19.62002779283949</v>
      </c>
      <c r="U7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70">
        <f>MainTbl[[#This Row],[O_from_solvents]]+MainTbl[[#This Row],[O_from_salts]]</f>
        <v>19.62002779283949</v>
      </c>
      <c r="W7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35.500965547189153</v>
      </c>
      <c r="X7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0">
        <f>MainTbl[[#This Row],[C_from_solvents]]+MainTbl[[#This Row],[C_from_salts]]</f>
        <v>35.500965547189153</v>
      </c>
      <c r="Z7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25.067769977687771</v>
      </c>
      <c r="AA7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70">
        <f>MainTbl[[#This Row],[F_from_solvents]]+MainTbl[[#This Row],[F_from_salts]]</f>
        <v>31.067769977687771</v>
      </c>
      <c r="AC7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43.44143442436399</v>
      </c>
      <c r="AD7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0">
        <f>MainTbl[[#This Row],[H_from_solvents]]+MainTbl[[#This Row],[H_from_salts]]</f>
        <v>43.44143442436399</v>
      </c>
      <c r="AF7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70">
        <f>MainTbl[[#This Row],[Li_from_solvents]]+MainTbl[[#This Row],[Li_from_salts]]</f>
        <v>1</v>
      </c>
      <c r="AI7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131.63019774208041</v>
      </c>
      <c r="AJ70" s="2">
        <f>IFERROR(MainTbl[[#This Row],[O_total]]/MainTbl[[#This Row],[TotalAtoms_all]],0)</f>
        <v>0.14905415420922999</v>
      </c>
      <c r="AK70" s="2">
        <f>IFERROR(MainTbl[[#This Row],[O_from_solvents]]/MainTbl[[#This Row],[TotalAtoms_all]],0)</f>
        <v>0.14905415420922999</v>
      </c>
      <c r="AL70" s="2">
        <f>IFERROR(MainTbl[[#This Row],[O_from_salts]]/MainTbl[[#This Row],[TotalAtoms_all]],0)</f>
        <v>0</v>
      </c>
      <c r="AM70" s="2">
        <f>IFERROR(MainTbl[[#This Row],[C_total]]/MainTbl[[#This Row],[TotalAtoms_all]],0)</f>
        <v>0.26970228835142113</v>
      </c>
      <c r="AN70" s="2">
        <f>IFERROR(MainTbl[[#This Row],[C_from_solvents]]/MainTbl[[#This Row],[TotalAtoms_all]],0)</f>
        <v>0.26970228835142113</v>
      </c>
      <c r="AO70" s="2">
        <f>IFERROR(MainTbl[[#This Row],[C_from_salts]]/MainTbl[[#This Row],[TotalAtoms_all]],0)</f>
        <v>0</v>
      </c>
      <c r="AP70" s="2">
        <f>IFERROR(MainTbl[[#This Row],[F_total]]/MainTbl[[#This Row],[TotalAtoms_all]],0)</f>
        <v>0.23602312015486565</v>
      </c>
      <c r="AQ70" s="2">
        <f>IFERROR(MainTbl[[#This Row],[F_from_solvents]]/MainTbl[[#This Row],[TotalAtoms_all]],0)</f>
        <v>0.19044087456896633</v>
      </c>
      <c r="AR70" s="2">
        <f>IFERROR(MainTbl[[#This Row],[F_from_salts]]/MainTbl[[#This Row],[TotalAtoms_all]],0)</f>
        <v>4.5582245585899323E-2</v>
      </c>
      <c r="AS70" s="2">
        <f>IFERROR(MainTbl[[#This Row],[F_total]]/MainTbl[[#This Row],[O_total]],0)</f>
        <v>1.5834722715849689</v>
      </c>
      <c r="AT70" s="2">
        <f>IFERROR(MainTbl[[#This Row],[F_total]]/MainTbl[[#This Row],[C_total]],0)</f>
        <v>0.87512464798714784</v>
      </c>
      <c r="AU70" s="2">
        <f>IFERROR(MainTbl[[#This Row],[O_total]]/MainTbl[[#This Row],[C_total]],0)</f>
        <v>0.552661807655903</v>
      </c>
      <c r="AV70" s="2">
        <f>IFERROR((MainTbl[[#This Row],[TotalAtoms_all]]-(MainTbl[[#This Row],[C_total]]+MainTbl[[#This Row],[H_total]]+MainTbl[[#This Row],[Li_total]]))/MainTbl[[#This Row],[C_total]],0)</f>
        <v>1.4559547035931177</v>
      </c>
      <c r="AW70" t="str">
        <f>IFERROR(VLOOKUP(MainTbl[[#This Row],[salt_1_smiles]],SaltTbl[],MATCH("Salt",SaltTbl[#Headers],0),FALSE),"")</f>
        <v>LiPF6</v>
      </c>
      <c r="AX70" t="str">
        <f>IFERROR(VLOOKUP(MainTbl[[#This Row],[salt_2_smiles]],SaltTbl[],MATCH("Salt",SaltTbl[#Headers],0),FALSE),"")</f>
        <v/>
      </c>
      <c r="AY70" t="str">
        <f>IFERROR(VLOOKUP(MainTbl[[#This Row],[solvent_1_smiles]],SolvTbl[],MATCH("Solvent",SolvTbl[#Headers],0),FALSE),"")</f>
        <v>MTFP (C4H5F3O2)</v>
      </c>
      <c r="AZ70" t="str">
        <f>IFERROR(VLOOKUP(MainTbl[[#This Row],[solvent_2_smiles]],SolvTbl[],MATCH("Solvent",SolvTbl[#Headers],0),FALSE),"")</f>
        <v>Fluoroethylene carbonate</v>
      </c>
      <c r="BA70" t="str">
        <f>IFERROR(VLOOKUP(MainTbl[[#This Row],[solvent_3_smiles]],SolvTbl[],MATCH("Solvent",SolvTbl[#Headers],0),FALSE),"")</f>
        <v/>
      </c>
      <c r="BB70">
        <f>--(MainTbl[[#This Row],[solv_1_ratio]]&gt;0)+--(MainTbl[[#This Row],[solv_2_ratio]]&gt;0)+--(MainTbl[[#This Row],[solv_3_ratio]]&gt;0)</f>
        <v>2</v>
      </c>
      <c r="BC70" t="str">
        <f>IF(AND(MainTbl[[#This Row],[SaltName1]]&lt;&gt;"",MainTbl[[#This Row],[salt_1_conc]]&gt;0),TEXT(MainTbl[[#This Row],[salt_1_conc]],"0.###")&amp;" M "&amp;MainTbl[[#This Row],[SaltName1]],"")</f>
        <v>1. M LiPF6</v>
      </c>
      <c r="BD70" t="str">
        <f>IF(AND(MainTbl[[#This Row],[SaltName2]]&lt;&gt;"",MainTbl[[#This Row],[salt_2_conc]]&gt;0),TEXT(MainTbl[[#This Row],[salt_2_conc]],"0.###")&amp;" M "&amp;MainTbl[[#This Row],[SaltName2]],"")</f>
        <v/>
      </c>
      <c r="BE7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70" t="str">
        <f>IF(MainTbl[[#This Row],[SolvCount]]=1,MainTbl[[#This Row],[SolvName1]],IF(MainTbl[[#This Row],[solv_1_ratio]]&gt;0,MainTbl[[#This Row],[SolvName1]]&amp;" "&amp;TEXT(MainTbl[[#This Row],[solv_1_ratio]]*100,"0.##")&amp;"%",""))</f>
        <v>MTFP (C4H5F3O2) 90.91%</v>
      </c>
      <c r="BG70" t="str">
        <f>IF(MainTbl[[#This Row],[SolvCount]]=1,MainTbl[[#This Row],[SolvName2]],IF(MainTbl[[#This Row],[solv_2_ratio]]&gt;0,MainTbl[[#This Row],[SolvName2]]&amp;" "&amp;TEXT(MainTbl[[#This Row],[solv_2_ratio]]*100,"0.##")&amp;"%",""))</f>
        <v>Fluoroethylene carbonate 9.09%</v>
      </c>
      <c r="BH7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MTFP (C4H5F3O2) 90.91% + Fluoroethylene carbonate 9.09%</v>
      </c>
      <c r="BJ70" t="str">
        <f>TRIM(_xlfn.CONCAT(MainTbl[[#This Row],[Salt_text]]," ",MainTbl[[#This Row],[Solvent_text]]))</f>
        <v>1. M LiPF6 MTFP (C4H5F3O2) 90.91% + Fluoroethylene carbonate 9.09%</v>
      </c>
    </row>
    <row r="71" spans="1:62" x14ac:dyDescent="0.25">
      <c r="A71" t="s">
        <v>24</v>
      </c>
      <c r="D71" t="s">
        <v>29</v>
      </c>
      <c r="G71">
        <v>1</v>
      </c>
      <c r="H71">
        <v>0</v>
      </c>
      <c r="I71">
        <v>0</v>
      </c>
      <c r="J71">
        <v>1</v>
      </c>
      <c r="K71">
        <v>0</v>
      </c>
      <c r="L71">
        <v>0.98199999999999998</v>
      </c>
      <c r="M71">
        <f t="shared" si="2"/>
        <v>98.2</v>
      </c>
      <c r="N71">
        <f t="shared" si="3"/>
        <v>1.7447274948966935</v>
      </c>
      <c r="O71">
        <f>IFERROR(MainTbl[[#This Row],[solv_1_ratio]]*VLOOKUP(MainTbl[[#This Row],[solvent_1_smiles]],SolvTbl[],13,FALSE),0)</f>
        <v>13.709996794086031</v>
      </c>
      <c r="P71">
        <f>IFERROR(MainTbl[[#This Row],[solv_2_ratio]]*VLOOKUP(MainTbl[[#This Row],[solvent_2_smiles]],SolvTbl[],13,FALSE),0)</f>
        <v>0</v>
      </c>
      <c r="Q71">
        <f>IFERROR(MainTbl[[#This Row],[solv_3_ratio]]*VLOOKUP(MainTbl[[#This Row],[solvent_3_smiles]],SolvTbl[],13,FALSE),0)</f>
        <v>0</v>
      </c>
      <c r="R71">
        <f>IFERROR(MainTbl[[#This Row],[salt_1_conc]],0)</f>
        <v>1</v>
      </c>
      <c r="S71">
        <f>IFERROR(MainTbl[[#This Row],[salt_2_conc]],0)</f>
        <v>0</v>
      </c>
      <c r="T7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41.129990382258093</v>
      </c>
      <c r="U7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71">
        <f>MainTbl[[#This Row],[O_from_solvents]]+MainTbl[[#This Row],[O_from_salts]]</f>
        <v>41.129990382258093</v>
      </c>
      <c r="W7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41.129990382258093</v>
      </c>
      <c r="X7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1">
        <f>MainTbl[[#This Row],[C_from_solvents]]+MainTbl[[#This Row],[C_from_salts]]</f>
        <v>41.129990382258093</v>
      </c>
      <c r="Z7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13.709996794086031</v>
      </c>
      <c r="AA7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71">
        <f>MainTbl[[#This Row],[F_from_solvents]]+MainTbl[[#This Row],[F_from_salts]]</f>
        <v>19.709996794086031</v>
      </c>
      <c r="AC7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41.129990382258093</v>
      </c>
      <c r="AD7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1">
        <f>MainTbl[[#This Row],[H_from_solvents]]+MainTbl[[#This Row],[H_from_salts]]</f>
        <v>41.129990382258093</v>
      </c>
      <c r="AF7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71">
        <f>MainTbl[[#This Row],[Li_from_solvents]]+MainTbl[[#This Row],[Li_from_salts]]</f>
        <v>1</v>
      </c>
      <c r="AI7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145.09996794086032</v>
      </c>
      <c r="AJ71" s="2">
        <f>IFERROR(MainTbl[[#This Row],[O_total]]/MainTbl[[#This Row],[TotalAtoms_all]],0)</f>
        <v>0.28345967932275357</v>
      </c>
      <c r="AK71" s="2">
        <f>IFERROR(MainTbl[[#This Row],[O_from_solvents]]/MainTbl[[#This Row],[TotalAtoms_all]],0)</f>
        <v>0.28345967932275357</v>
      </c>
      <c r="AL71" s="2">
        <f>IFERROR(MainTbl[[#This Row],[O_from_salts]]/MainTbl[[#This Row],[TotalAtoms_all]],0)</f>
        <v>0</v>
      </c>
      <c r="AM71" s="2">
        <f>IFERROR(MainTbl[[#This Row],[C_total]]/MainTbl[[#This Row],[TotalAtoms_all]],0)</f>
        <v>0.28345967932275357</v>
      </c>
      <c r="AN71" s="2">
        <f>IFERROR(MainTbl[[#This Row],[C_from_solvents]]/MainTbl[[#This Row],[TotalAtoms_all]],0)</f>
        <v>0.28345967932275357</v>
      </c>
      <c r="AO71" s="2">
        <f>IFERROR(MainTbl[[#This Row],[C_from_salts]]/MainTbl[[#This Row],[TotalAtoms_all]],0)</f>
        <v>0</v>
      </c>
      <c r="AP71" s="2">
        <f>IFERROR(MainTbl[[#This Row],[F_total]]/MainTbl[[#This Row],[TotalAtoms_all]],0)</f>
        <v>0.13583736146736716</v>
      </c>
      <c r="AQ71" s="2">
        <f>IFERROR(MainTbl[[#This Row],[F_from_solvents]]/MainTbl[[#This Row],[TotalAtoms_all]],0)</f>
        <v>9.4486559774251189E-2</v>
      </c>
      <c r="AR71" s="2">
        <f>IFERROR(MainTbl[[#This Row],[F_from_salts]]/MainTbl[[#This Row],[TotalAtoms_all]],0)</f>
        <v>4.1350801693115967E-2</v>
      </c>
      <c r="AS71" s="2">
        <f>IFERROR(MainTbl[[#This Row],[F_total]]/MainTbl[[#This Row],[O_total]],0)</f>
        <v>0.47921228794131132</v>
      </c>
      <c r="AT71" s="2">
        <f>IFERROR(MainTbl[[#This Row],[F_total]]/MainTbl[[#This Row],[C_total]],0)</f>
        <v>0.47921228794131132</v>
      </c>
      <c r="AU71" s="2">
        <f>IFERROR(MainTbl[[#This Row],[O_total]]/MainTbl[[#This Row],[C_total]],0)</f>
        <v>1</v>
      </c>
      <c r="AV71" s="2">
        <f>IFERROR((MainTbl[[#This Row],[TotalAtoms_all]]-(MainTbl[[#This Row],[C_total]]+MainTbl[[#This Row],[H_total]]+MainTbl[[#This Row],[Li_total]]))/MainTbl[[#This Row],[C_total]],0)</f>
        <v>1.5035254470426413</v>
      </c>
      <c r="AW71" t="str">
        <f>IFERROR(VLOOKUP(MainTbl[[#This Row],[salt_1_smiles]],SaltTbl[],MATCH("Salt",SaltTbl[#Headers],0),FALSE),"")</f>
        <v>LiPF6</v>
      </c>
      <c r="AX71" t="str">
        <f>IFERROR(VLOOKUP(MainTbl[[#This Row],[salt_2_smiles]],SaltTbl[],MATCH("Salt",SaltTbl[#Headers],0),FALSE),"")</f>
        <v/>
      </c>
      <c r="AY71" t="str">
        <f>IFERROR(VLOOKUP(MainTbl[[#This Row],[solvent_1_smiles]],SolvTbl[],MATCH("Solvent",SolvTbl[#Headers],0),FALSE),"")</f>
        <v>Fluoroethylene carbonate</v>
      </c>
      <c r="AZ71" t="str">
        <f>IFERROR(VLOOKUP(MainTbl[[#This Row],[solvent_2_smiles]],SolvTbl[],MATCH("Solvent",SolvTbl[#Headers],0),FALSE),"")</f>
        <v/>
      </c>
      <c r="BA71" t="str">
        <f>IFERROR(VLOOKUP(MainTbl[[#This Row],[solvent_3_smiles]],SolvTbl[],MATCH("Solvent",SolvTbl[#Headers],0),FALSE),"")</f>
        <v/>
      </c>
      <c r="BB71">
        <f>--(MainTbl[[#This Row],[solv_1_ratio]]&gt;0)+--(MainTbl[[#This Row],[solv_2_ratio]]&gt;0)+--(MainTbl[[#This Row],[solv_3_ratio]]&gt;0)</f>
        <v>1</v>
      </c>
      <c r="BC71" t="str">
        <f>IF(AND(MainTbl[[#This Row],[SaltName1]]&lt;&gt;"",MainTbl[[#This Row],[salt_1_conc]]&gt;0),TEXT(MainTbl[[#This Row],[salt_1_conc]],"0.###")&amp;" M "&amp;MainTbl[[#This Row],[SaltName1]],"")</f>
        <v>1. M LiPF6</v>
      </c>
      <c r="BD71" t="str">
        <f>IF(AND(MainTbl[[#This Row],[SaltName2]]&lt;&gt;"",MainTbl[[#This Row],[salt_2_conc]]&gt;0),TEXT(MainTbl[[#This Row],[salt_2_conc]],"0.###")&amp;" M "&amp;MainTbl[[#This Row],[SaltName2]],"")</f>
        <v/>
      </c>
      <c r="BE7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71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</v>
      </c>
      <c r="BG71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7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</v>
      </c>
      <c r="BJ71" t="str">
        <f>TRIM(_xlfn.CONCAT(MainTbl[[#This Row],[Salt_text]]," ",MainTbl[[#This Row],[Solvent_text]]))</f>
        <v>1. M LiPF6 Fluoroethylene carbonate</v>
      </c>
    </row>
    <row r="72" spans="1:62" x14ac:dyDescent="0.25">
      <c r="A72" t="s">
        <v>28</v>
      </c>
      <c r="D72" t="s">
        <v>29</v>
      </c>
      <c r="F72" t="s">
        <v>19</v>
      </c>
      <c r="G72">
        <v>1</v>
      </c>
      <c r="H72">
        <v>0</v>
      </c>
      <c r="I72">
        <v>0</v>
      </c>
      <c r="J72">
        <v>1</v>
      </c>
      <c r="K72">
        <v>0</v>
      </c>
      <c r="L72">
        <v>0.90300000000000002</v>
      </c>
      <c r="M72">
        <f t="shared" si="2"/>
        <v>90.3</v>
      </c>
      <c r="N72">
        <f t="shared" si="3"/>
        <v>1.0132282657337552</v>
      </c>
      <c r="O72">
        <f>IFERROR(MainTbl[[#This Row],[solv_1_ratio]]*VLOOKUP(MainTbl[[#This Row],[solvent_1_smiles]],SolvTbl[],13,FALSE),0)</f>
        <v>8.2536188944383309</v>
      </c>
      <c r="P72">
        <f>IFERROR(MainTbl[[#This Row],[solv_2_ratio]]*VLOOKUP(MainTbl[[#This Row],[solvent_2_smiles]],SolvTbl[],13,FALSE),0)</f>
        <v>0</v>
      </c>
      <c r="Q72">
        <f>IFERROR(MainTbl[[#This Row],[solv_3_ratio]]*VLOOKUP(MainTbl[[#This Row],[solvent_3_smiles]],SolvTbl[],13,FALSE),0)</f>
        <v>0</v>
      </c>
      <c r="R72">
        <f>IFERROR(MainTbl[[#This Row],[salt_1_conc]],0)</f>
        <v>1</v>
      </c>
      <c r="S72">
        <f>IFERROR(MainTbl[[#This Row],[salt_2_conc]],0)</f>
        <v>0</v>
      </c>
      <c r="T7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24.760856683314991</v>
      </c>
      <c r="U7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72">
        <f>MainTbl[[#This Row],[O_from_solvents]]+MainTbl[[#This Row],[O_from_salts]]</f>
        <v>24.760856683314991</v>
      </c>
      <c r="W7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41.268094472191656</v>
      </c>
      <c r="X7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2">
        <f>MainTbl[[#This Row],[C_from_solvents]]+MainTbl[[#This Row],[C_from_salts]]</f>
        <v>41.268094472191656</v>
      </c>
      <c r="Z7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7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72">
        <f>MainTbl[[#This Row],[F_from_solvents]]+MainTbl[[#This Row],[F_from_salts]]</f>
        <v>6</v>
      </c>
      <c r="AC7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82.536188944383312</v>
      </c>
      <c r="AD7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2">
        <f>MainTbl[[#This Row],[H_from_solvents]]+MainTbl[[#This Row],[H_from_salts]]</f>
        <v>82.536188944383312</v>
      </c>
      <c r="AF7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72">
        <f>MainTbl[[#This Row],[Li_from_solvents]]+MainTbl[[#This Row],[Li_from_salts]]</f>
        <v>1</v>
      </c>
      <c r="AI7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156.56514009988996</v>
      </c>
      <c r="AJ72" s="2">
        <f>IFERROR(MainTbl[[#This Row],[O_total]]/MainTbl[[#This Row],[TotalAtoms_all]],0)</f>
        <v>0.15815050954201773</v>
      </c>
      <c r="AK72" s="2">
        <f>IFERROR(MainTbl[[#This Row],[O_from_solvents]]/MainTbl[[#This Row],[TotalAtoms_all]],0)</f>
        <v>0.15815050954201773</v>
      </c>
      <c r="AL72" s="2">
        <f>IFERROR(MainTbl[[#This Row],[O_from_salts]]/MainTbl[[#This Row],[TotalAtoms_all]],0)</f>
        <v>0</v>
      </c>
      <c r="AM72" s="2">
        <f>IFERROR(MainTbl[[#This Row],[C_total]]/MainTbl[[#This Row],[TotalAtoms_all]],0)</f>
        <v>0.26358418257002958</v>
      </c>
      <c r="AN72" s="2">
        <f>IFERROR(MainTbl[[#This Row],[C_from_solvents]]/MainTbl[[#This Row],[TotalAtoms_all]],0)</f>
        <v>0.26358418257002958</v>
      </c>
      <c r="AO72" s="2">
        <f>IFERROR(MainTbl[[#This Row],[C_from_salts]]/MainTbl[[#This Row],[TotalAtoms_all]],0)</f>
        <v>0</v>
      </c>
      <c r="AP72" s="2">
        <f>IFERROR(MainTbl[[#This Row],[F_total]]/MainTbl[[#This Row],[TotalAtoms_all]],0)</f>
        <v>3.8322707060920114E-2</v>
      </c>
      <c r="AQ72" s="2">
        <f>IFERROR(MainTbl[[#This Row],[F_from_solvents]]/MainTbl[[#This Row],[TotalAtoms_all]],0)</f>
        <v>0</v>
      </c>
      <c r="AR72" s="2">
        <f>IFERROR(MainTbl[[#This Row],[F_from_salts]]/MainTbl[[#This Row],[TotalAtoms_all]],0)</f>
        <v>3.8322707060920114E-2</v>
      </c>
      <c r="AS72" s="2">
        <f>IFERROR(MainTbl[[#This Row],[F_total]]/MainTbl[[#This Row],[O_total]],0)</f>
        <v>0.24231794871794873</v>
      </c>
      <c r="AT72" s="2">
        <f>IFERROR(MainTbl[[#This Row],[F_total]]/MainTbl[[#This Row],[C_total]],0)</f>
        <v>0.14539076923076921</v>
      </c>
      <c r="AU72" s="2">
        <f>IFERROR(MainTbl[[#This Row],[O_total]]/MainTbl[[#This Row],[C_total]],0)</f>
        <v>0.6</v>
      </c>
      <c r="AV72" s="2">
        <f>IFERROR((MainTbl[[#This Row],[TotalAtoms_all]]-(MainTbl[[#This Row],[C_total]]+MainTbl[[#This Row],[H_total]]+MainTbl[[#This Row],[Li_total]]))/MainTbl[[#This Row],[C_total]],0)</f>
        <v>0.7696225641025638</v>
      </c>
      <c r="AW72" t="str">
        <f>IFERROR(VLOOKUP(MainTbl[[#This Row],[salt_1_smiles]],SaltTbl[],MATCH("Salt",SaltTbl[#Headers],0),FALSE),"")</f>
        <v>LiPF6</v>
      </c>
      <c r="AX72" t="str">
        <f>IFERROR(VLOOKUP(MainTbl[[#This Row],[salt_2_smiles]],SaltTbl[],MATCH("Salt",SaltTbl[#Headers],0),FALSE),"")</f>
        <v/>
      </c>
      <c r="AY72" t="str">
        <f>IFERROR(VLOOKUP(MainTbl[[#This Row],[solvent_1_smiles]],SolvTbl[],MATCH("Solvent",SolvTbl[#Headers],0),FALSE),"")</f>
        <v>Diethyl Carbonate</v>
      </c>
      <c r="AZ72" t="str">
        <f>IFERROR(VLOOKUP(MainTbl[[#This Row],[solvent_2_smiles]],SolvTbl[],MATCH("Solvent",SolvTbl[#Headers],0),FALSE),"")</f>
        <v/>
      </c>
      <c r="BA72" t="str">
        <f>IFERROR(VLOOKUP(MainTbl[[#This Row],[solvent_3_smiles]],SolvTbl[],MATCH("Solvent",SolvTbl[#Headers],0),FALSE),"")</f>
        <v/>
      </c>
      <c r="BB72">
        <f>--(MainTbl[[#This Row],[solv_1_ratio]]&gt;0)+--(MainTbl[[#This Row],[solv_2_ratio]]&gt;0)+--(MainTbl[[#This Row],[solv_3_ratio]]&gt;0)</f>
        <v>1</v>
      </c>
      <c r="BC72" t="str">
        <f>IF(AND(MainTbl[[#This Row],[SaltName1]]&lt;&gt;"",MainTbl[[#This Row],[salt_1_conc]]&gt;0),TEXT(MainTbl[[#This Row],[salt_1_conc]],"0.###")&amp;" M "&amp;MainTbl[[#This Row],[SaltName1]],"")</f>
        <v>1. M LiPF6</v>
      </c>
      <c r="BD72" t="str">
        <f>IF(AND(MainTbl[[#This Row],[SaltName2]]&lt;&gt;"",MainTbl[[#This Row],[salt_2_conc]]&gt;0),TEXT(MainTbl[[#This Row],[salt_2_conc]],"0.###")&amp;" M "&amp;MainTbl[[#This Row],[SaltName2]],"")</f>
        <v/>
      </c>
      <c r="BE7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72" t="str">
        <f>IF(MainTbl[[#This Row],[SolvCount]]=1,MainTbl[[#This Row],[SolvName1]],IF(MainTbl[[#This Row],[solv_1_ratio]]&gt;0,MainTbl[[#This Row],[SolvName1]]&amp;" "&amp;TEXT(MainTbl[[#This Row],[solv_1_ratio]]*100,"0.##")&amp;"%",""))</f>
        <v>Diethyl Carbonate</v>
      </c>
      <c r="BG72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7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Diethyl Carbonate</v>
      </c>
      <c r="BJ72" t="str">
        <f>TRIM(_xlfn.CONCAT(MainTbl[[#This Row],[Salt_text]]," ",MainTbl[[#This Row],[Solvent_text]]))</f>
        <v>1. M LiPF6 Diethyl Carbonate</v>
      </c>
    </row>
    <row r="73" spans="1:62" x14ac:dyDescent="0.25">
      <c r="A73" t="s">
        <v>48</v>
      </c>
      <c r="D73" t="s">
        <v>22</v>
      </c>
      <c r="F73" t="s">
        <v>19</v>
      </c>
      <c r="G73">
        <v>1</v>
      </c>
      <c r="H73">
        <v>0</v>
      </c>
      <c r="I73">
        <v>0</v>
      </c>
      <c r="J73">
        <v>1</v>
      </c>
      <c r="K73">
        <v>0</v>
      </c>
      <c r="L73">
        <v>0.94299999999999995</v>
      </c>
      <c r="M73">
        <f t="shared" si="2"/>
        <v>94.3</v>
      </c>
      <c r="N73">
        <f t="shared" si="3"/>
        <v>1.2441251443275083</v>
      </c>
      <c r="O73">
        <f>IFERROR(MainTbl[[#This Row],[solv_1_ratio]]*VLOOKUP(MainTbl[[#This Row],[solvent_1_smiles]],SolvTbl[],13,FALSE),0)</f>
        <v>7.043198282801181</v>
      </c>
      <c r="P73">
        <f>IFERROR(MainTbl[[#This Row],[solv_2_ratio]]*VLOOKUP(MainTbl[[#This Row],[solvent_2_smiles]],SolvTbl[],13,FALSE),0)</f>
        <v>0</v>
      </c>
      <c r="Q73">
        <f>IFERROR(MainTbl[[#This Row],[solv_3_ratio]]*VLOOKUP(MainTbl[[#This Row],[solvent_3_smiles]],SolvTbl[],13,FALSE),0)</f>
        <v>0</v>
      </c>
      <c r="R73">
        <f>IFERROR(MainTbl[[#This Row],[salt_1_conc]],0)</f>
        <v>1</v>
      </c>
      <c r="S73">
        <f>IFERROR(MainTbl[[#This Row],[salt_2_conc]],0)</f>
        <v>0</v>
      </c>
      <c r="T7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21.129594848403542</v>
      </c>
      <c r="U7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73">
        <f>MainTbl[[#This Row],[O_from_solvents]]+MainTbl[[#This Row],[O_from_salts]]</f>
        <v>25.129594848403542</v>
      </c>
      <c r="W7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42.259189696807084</v>
      </c>
      <c r="X7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3">
        <f>MainTbl[[#This Row],[C_from_solvents]]+MainTbl[[#This Row],[C_from_salts]]</f>
        <v>42.259189696807084</v>
      </c>
      <c r="Z7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7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73">
        <f>MainTbl[[#This Row],[F_from_solvents]]+MainTbl[[#This Row],[F_from_salts]]</f>
        <v>2</v>
      </c>
      <c r="AC7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98.604775959216539</v>
      </c>
      <c r="AD7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3">
        <f>MainTbl[[#This Row],[H_from_solvents]]+MainTbl[[#This Row],[H_from_salts]]</f>
        <v>98.604775959216539</v>
      </c>
      <c r="AF7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73">
        <f>MainTbl[[#This Row],[Li_from_solvents]]+MainTbl[[#This Row],[Li_from_salts]]</f>
        <v>1</v>
      </c>
      <c r="AI7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171.99356050442717</v>
      </c>
      <c r="AJ73" s="2">
        <f>IFERROR(MainTbl[[#This Row],[O_total]]/MainTbl[[#This Row],[TotalAtoms_all]],0)</f>
        <v>0.14610776574833859</v>
      </c>
      <c r="AK73" s="2">
        <f>IFERROR(MainTbl[[#This Row],[O_from_solvents]]/MainTbl[[#This Row],[TotalAtoms_all]],0)</f>
        <v>0.12285108108951358</v>
      </c>
      <c r="AL73" s="2">
        <f>IFERROR(MainTbl[[#This Row],[O_from_salts]]/MainTbl[[#This Row],[TotalAtoms_all]],0)</f>
        <v>2.3256684658824998E-2</v>
      </c>
      <c r="AM73" s="2">
        <f>IFERROR(MainTbl[[#This Row],[C_total]]/MainTbl[[#This Row],[TotalAtoms_all]],0)</f>
        <v>0.24570216217902716</v>
      </c>
      <c r="AN73" s="2">
        <f>IFERROR(MainTbl[[#This Row],[C_from_solvents]]/MainTbl[[#This Row],[TotalAtoms_all]],0)</f>
        <v>0.24570216217902716</v>
      </c>
      <c r="AO73" s="2">
        <f>IFERROR(MainTbl[[#This Row],[C_from_salts]]/MainTbl[[#This Row],[TotalAtoms_all]],0)</f>
        <v>0</v>
      </c>
      <c r="AP73" s="2">
        <f>IFERROR(MainTbl[[#This Row],[F_total]]/MainTbl[[#This Row],[TotalAtoms_all]],0)</f>
        <v>1.1628342329412499E-2</v>
      </c>
      <c r="AQ73" s="2">
        <f>IFERROR(MainTbl[[#This Row],[F_from_solvents]]/MainTbl[[#This Row],[TotalAtoms_all]],0)</f>
        <v>0</v>
      </c>
      <c r="AR73" s="2">
        <f>IFERROR(MainTbl[[#This Row],[F_from_salts]]/MainTbl[[#This Row],[TotalAtoms_all]],0)</f>
        <v>1.1628342329412499E-2</v>
      </c>
      <c r="AS73" s="2">
        <f>IFERROR(MainTbl[[#This Row],[F_total]]/MainTbl[[#This Row],[O_total]],0)</f>
        <v>7.958743513634714E-2</v>
      </c>
      <c r="AT73" s="2">
        <f>IFERROR(MainTbl[[#This Row],[F_total]]/MainTbl[[#This Row],[C_total]],0)</f>
        <v>4.7326984126984127E-2</v>
      </c>
      <c r="AU73" s="2">
        <f>IFERROR(MainTbl[[#This Row],[O_total]]/MainTbl[[#This Row],[C_total]],0)</f>
        <v>0.59465396825396821</v>
      </c>
      <c r="AV73" s="2">
        <f>IFERROR((MainTbl[[#This Row],[TotalAtoms_all]]-(MainTbl[[#This Row],[C_total]]+MainTbl[[#This Row],[H_total]]+MainTbl[[#This Row],[Li_total]]))/MainTbl[[#This Row],[C_total]],0)</f>
        <v>0.71297142857142859</v>
      </c>
      <c r="AW73" t="str">
        <f>IFERROR(VLOOKUP(MainTbl[[#This Row],[salt_1_smiles]],SaltTbl[],MATCH("Salt",SaltTbl[#Headers],0),FALSE),"")</f>
        <v>LiFSI</v>
      </c>
      <c r="AX73" t="str">
        <f>IFERROR(VLOOKUP(MainTbl[[#This Row],[salt_2_smiles]],SaltTbl[],MATCH("Salt",SaltTbl[#Headers],0),FALSE),"")</f>
        <v/>
      </c>
      <c r="AY73" t="str">
        <f>IFERROR(VLOOKUP(MainTbl[[#This Row],[solvent_1_smiles]],SolvTbl[],MATCH("Solvent",SolvTbl[#Headers],0),FALSE),"")</f>
        <v>Diglyme</v>
      </c>
      <c r="AZ73" t="str">
        <f>IFERROR(VLOOKUP(MainTbl[[#This Row],[solvent_2_smiles]],SolvTbl[],MATCH("Solvent",SolvTbl[#Headers],0),FALSE),"")</f>
        <v/>
      </c>
      <c r="BA73" t="str">
        <f>IFERROR(VLOOKUP(MainTbl[[#This Row],[solvent_3_smiles]],SolvTbl[],MATCH("Solvent",SolvTbl[#Headers],0),FALSE),"")</f>
        <v/>
      </c>
      <c r="BB73">
        <f>--(MainTbl[[#This Row],[solv_1_ratio]]&gt;0)+--(MainTbl[[#This Row],[solv_2_ratio]]&gt;0)+--(MainTbl[[#This Row],[solv_3_ratio]]&gt;0)</f>
        <v>1</v>
      </c>
      <c r="BC73" t="str">
        <f>IF(AND(MainTbl[[#This Row],[SaltName1]]&lt;&gt;"",MainTbl[[#This Row],[salt_1_conc]]&gt;0),TEXT(MainTbl[[#This Row],[salt_1_conc]],"0.###")&amp;" M "&amp;MainTbl[[#This Row],[SaltName1]],"")</f>
        <v>1. M LiFSI</v>
      </c>
      <c r="BD73" t="str">
        <f>IF(AND(MainTbl[[#This Row],[SaltName2]]&lt;&gt;"",MainTbl[[#This Row],[salt_2_conc]]&gt;0),TEXT(MainTbl[[#This Row],[salt_2_conc]],"0.###")&amp;" M "&amp;MainTbl[[#This Row],[SaltName2]],"")</f>
        <v/>
      </c>
      <c r="BE7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73" t="str">
        <f>IF(MainTbl[[#This Row],[SolvCount]]=1,MainTbl[[#This Row],[SolvName1]],IF(MainTbl[[#This Row],[solv_1_ratio]]&gt;0,MainTbl[[#This Row],[SolvName1]]&amp;" "&amp;TEXT(MainTbl[[#This Row],[solv_1_ratio]]*100,"0.##")&amp;"%",""))</f>
        <v>Diglyme</v>
      </c>
      <c r="BG73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7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Diglyme</v>
      </c>
      <c r="BJ73" t="str">
        <f>TRIM(_xlfn.CONCAT(MainTbl[[#This Row],[Salt_text]]," ",MainTbl[[#This Row],[Solvent_text]]))</f>
        <v>1. M LiFSI Diglyme</v>
      </c>
    </row>
    <row r="74" spans="1:62" x14ac:dyDescent="0.25">
      <c r="A74" t="s">
        <v>49</v>
      </c>
      <c r="D74" t="s">
        <v>22</v>
      </c>
      <c r="F74" t="s">
        <v>19</v>
      </c>
      <c r="G74">
        <v>1</v>
      </c>
      <c r="H74">
        <v>0</v>
      </c>
      <c r="I74">
        <v>0</v>
      </c>
      <c r="J74">
        <v>1</v>
      </c>
      <c r="K74">
        <v>0</v>
      </c>
      <c r="L74">
        <v>0.96299999999999997</v>
      </c>
      <c r="M74">
        <f t="shared" si="2"/>
        <v>96.3</v>
      </c>
      <c r="N74">
        <f t="shared" si="3"/>
        <v>1.4317982759330046</v>
      </c>
      <c r="O74">
        <f>IFERROR(MainTbl[[#This Row],[solv_1_ratio]]*VLOOKUP(MainTbl[[#This Row],[solvent_1_smiles]],SolvTbl[],13,FALSE),0)</f>
        <v>4.5394014648455068</v>
      </c>
      <c r="P74">
        <f>IFERROR(MainTbl[[#This Row],[solv_2_ratio]]*VLOOKUP(MainTbl[[#This Row],[solvent_2_smiles]],SolvTbl[],13,FALSE),0)</f>
        <v>0</v>
      </c>
      <c r="Q74">
        <f>IFERROR(MainTbl[[#This Row],[solv_3_ratio]]*VLOOKUP(MainTbl[[#This Row],[solvent_3_smiles]],SolvTbl[],13,FALSE),0)</f>
        <v>0</v>
      </c>
      <c r="R74">
        <f>IFERROR(MainTbl[[#This Row],[salt_1_conc]],0)</f>
        <v>1</v>
      </c>
      <c r="S74">
        <f>IFERROR(MainTbl[[#This Row],[salt_2_conc]],0)</f>
        <v>0</v>
      </c>
      <c r="T7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22.697007324227535</v>
      </c>
      <c r="U7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74">
        <f>MainTbl[[#This Row],[O_from_solvents]]+MainTbl[[#This Row],[O_from_salts]]</f>
        <v>26.697007324227535</v>
      </c>
      <c r="W7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45.39401464845507</v>
      </c>
      <c r="X7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4">
        <f>MainTbl[[#This Row],[C_from_solvents]]+MainTbl[[#This Row],[C_from_salts]]</f>
        <v>45.39401464845507</v>
      </c>
      <c r="Z7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7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74">
        <f>MainTbl[[#This Row],[F_from_solvents]]+MainTbl[[#This Row],[F_from_salts]]</f>
        <v>2</v>
      </c>
      <c r="AC7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99.866832226601147</v>
      </c>
      <c r="AD7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4">
        <f>MainTbl[[#This Row],[H_from_solvents]]+MainTbl[[#This Row],[H_from_salts]]</f>
        <v>99.866832226601147</v>
      </c>
      <c r="AF7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74">
        <f>MainTbl[[#This Row],[Li_from_solvents]]+MainTbl[[#This Row],[Li_from_salts]]</f>
        <v>1</v>
      </c>
      <c r="AI7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177.95785419928376</v>
      </c>
      <c r="AJ74" s="2">
        <f>IFERROR(MainTbl[[#This Row],[O_total]]/MainTbl[[#This Row],[TotalAtoms_all]],0)</f>
        <v>0.1500187077684767</v>
      </c>
      <c r="AK74" s="2">
        <f>IFERROR(MainTbl[[#This Row],[O_from_solvents]]/MainTbl[[#This Row],[TotalAtoms_all]],0)</f>
        <v>0.12754147562832821</v>
      </c>
      <c r="AL74" s="2">
        <f>IFERROR(MainTbl[[#This Row],[O_from_salts]]/MainTbl[[#This Row],[TotalAtoms_all]],0)</f>
        <v>2.247723214014849E-2</v>
      </c>
      <c r="AM74" s="2">
        <f>IFERROR(MainTbl[[#This Row],[C_total]]/MainTbl[[#This Row],[TotalAtoms_all]],0)</f>
        <v>0.25508295125665642</v>
      </c>
      <c r="AN74" s="2">
        <f>IFERROR(MainTbl[[#This Row],[C_from_solvents]]/MainTbl[[#This Row],[TotalAtoms_all]],0)</f>
        <v>0.25508295125665642</v>
      </c>
      <c r="AO74" s="2">
        <f>IFERROR(MainTbl[[#This Row],[C_from_salts]]/MainTbl[[#This Row],[TotalAtoms_all]],0)</f>
        <v>0</v>
      </c>
      <c r="AP74" s="2">
        <f>IFERROR(MainTbl[[#This Row],[F_total]]/MainTbl[[#This Row],[TotalAtoms_all]],0)</f>
        <v>1.1238616070074245E-2</v>
      </c>
      <c r="AQ74" s="2">
        <f>IFERROR(MainTbl[[#This Row],[F_from_solvents]]/MainTbl[[#This Row],[TotalAtoms_all]],0)</f>
        <v>0</v>
      </c>
      <c r="AR74" s="2">
        <f>IFERROR(MainTbl[[#This Row],[F_from_salts]]/MainTbl[[#This Row],[TotalAtoms_all]],0)</f>
        <v>1.1238616070074245E-2</v>
      </c>
      <c r="AS74" s="2">
        <f>IFERROR(MainTbl[[#This Row],[F_total]]/MainTbl[[#This Row],[O_total]],0)</f>
        <v>7.491476388010726E-2</v>
      </c>
      <c r="AT74" s="2">
        <f>IFERROR(MainTbl[[#This Row],[F_total]]/MainTbl[[#This Row],[C_total]],0)</f>
        <v>4.4058671952428151E-2</v>
      </c>
      <c r="AU74" s="2">
        <f>IFERROR(MainTbl[[#This Row],[O_total]]/MainTbl[[#This Row],[C_total]],0)</f>
        <v>0.58811734390485626</v>
      </c>
      <c r="AV74" s="2">
        <f>IFERROR((MainTbl[[#This Row],[TotalAtoms_all]]-(MainTbl[[#This Row],[C_total]]+MainTbl[[#This Row],[H_total]]+MainTbl[[#This Row],[Li_total]]))/MainTbl[[#This Row],[C_total]],0)</f>
        <v>0.69826402378592689</v>
      </c>
      <c r="AW74" t="str">
        <f>IFERROR(VLOOKUP(MainTbl[[#This Row],[salt_1_smiles]],SaltTbl[],MATCH("Salt",SaltTbl[#Headers],0),FALSE),"")</f>
        <v>LiFSI</v>
      </c>
      <c r="AX74" t="str">
        <f>IFERROR(VLOOKUP(MainTbl[[#This Row],[salt_2_smiles]],SaltTbl[],MATCH("Salt",SaltTbl[#Headers],0),FALSE),"")</f>
        <v/>
      </c>
      <c r="AY74" t="str">
        <f>IFERROR(VLOOKUP(MainTbl[[#This Row],[solvent_1_smiles]],SolvTbl[],MATCH("Solvent",SolvTbl[#Headers],0),FALSE),"")</f>
        <v>Tetraglyme</v>
      </c>
      <c r="AZ74" t="str">
        <f>IFERROR(VLOOKUP(MainTbl[[#This Row],[solvent_2_smiles]],SolvTbl[],MATCH("Solvent",SolvTbl[#Headers],0),FALSE),"")</f>
        <v/>
      </c>
      <c r="BA74" t="str">
        <f>IFERROR(VLOOKUP(MainTbl[[#This Row],[solvent_3_smiles]],SolvTbl[],MATCH("Solvent",SolvTbl[#Headers],0),FALSE),"")</f>
        <v/>
      </c>
      <c r="BB74">
        <f>--(MainTbl[[#This Row],[solv_1_ratio]]&gt;0)+--(MainTbl[[#This Row],[solv_2_ratio]]&gt;0)+--(MainTbl[[#This Row],[solv_3_ratio]]&gt;0)</f>
        <v>1</v>
      </c>
      <c r="BC74" t="str">
        <f>IF(AND(MainTbl[[#This Row],[SaltName1]]&lt;&gt;"",MainTbl[[#This Row],[salt_1_conc]]&gt;0),TEXT(MainTbl[[#This Row],[salt_1_conc]],"0.###")&amp;" M "&amp;MainTbl[[#This Row],[SaltName1]],"")</f>
        <v>1. M LiFSI</v>
      </c>
      <c r="BD74" t="str">
        <f>IF(AND(MainTbl[[#This Row],[SaltName2]]&lt;&gt;"",MainTbl[[#This Row],[salt_2_conc]]&gt;0),TEXT(MainTbl[[#This Row],[salt_2_conc]],"0.###")&amp;" M "&amp;MainTbl[[#This Row],[SaltName2]],"")</f>
        <v/>
      </c>
      <c r="BE7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74" t="str">
        <f>IF(MainTbl[[#This Row],[SolvCount]]=1,MainTbl[[#This Row],[SolvName1]],IF(MainTbl[[#This Row],[solv_1_ratio]]&gt;0,MainTbl[[#This Row],[SolvName1]]&amp;" "&amp;TEXT(MainTbl[[#This Row],[solv_1_ratio]]*100,"0.##")&amp;"%",""))</f>
        <v>Tetraglyme</v>
      </c>
      <c r="BG74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7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Tetraglyme</v>
      </c>
      <c r="BJ74" t="str">
        <f>TRIM(_xlfn.CONCAT(MainTbl[[#This Row],[Salt_text]]," ",MainTbl[[#This Row],[Solvent_text]]))</f>
        <v>1. M LiFSI Tetraglyme</v>
      </c>
    </row>
    <row r="75" spans="1:62" x14ac:dyDescent="0.25">
      <c r="A75" t="s">
        <v>18</v>
      </c>
      <c r="D75" t="s">
        <v>22</v>
      </c>
      <c r="F75" t="s">
        <v>19</v>
      </c>
      <c r="G75">
        <v>1</v>
      </c>
      <c r="H75">
        <v>0</v>
      </c>
      <c r="I75">
        <v>0</v>
      </c>
      <c r="J75">
        <v>3</v>
      </c>
      <c r="K75">
        <v>0</v>
      </c>
      <c r="L75">
        <v>0.92200000000000004</v>
      </c>
      <c r="M75">
        <f t="shared" si="2"/>
        <v>92.2</v>
      </c>
      <c r="N75">
        <f t="shared" si="3"/>
        <v>1.1079053973095199</v>
      </c>
      <c r="O75">
        <f>IFERROR(MainTbl[[#This Row],[solv_1_ratio]]*VLOOKUP(MainTbl[[#This Row],[solvent_1_smiles]],SolvTbl[],13,FALSE),0)</f>
        <v>9.631602308033731</v>
      </c>
      <c r="P75">
        <f>IFERROR(MainTbl[[#This Row],[solv_2_ratio]]*VLOOKUP(MainTbl[[#This Row],[solvent_2_smiles]],SolvTbl[],13,FALSE),0)</f>
        <v>0</v>
      </c>
      <c r="Q75">
        <f>IFERROR(MainTbl[[#This Row],[solv_3_ratio]]*VLOOKUP(MainTbl[[#This Row],[solvent_3_smiles]],SolvTbl[],13,FALSE),0)</f>
        <v>0</v>
      </c>
      <c r="R75">
        <f>IFERROR(MainTbl[[#This Row],[salt_1_conc]],0)</f>
        <v>3</v>
      </c>
      <c r="S75">
        <f>IFERROR(MainTbl[[#This Row],[salt_2_conc]],0)</f>
        <v>0</v>
      </c>
      <c r="T7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7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12</v>
      </c>
      <c r="V75">
        <f>MainTbl[[#This Row],[O_from_solvents]]+MainTbl[[#This Row],[O_from_salts]]</f>
        <v>31.263204616067462</v>
      </c>
      <c r="W7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7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5">
        <f>MainTbl[[#This Row],[C_from_solvents]]+MainTbl[[#This Row],[C_from_salts]]</f>
        <v>38.526409232134924</v>
      </c>
      <c r="Z7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7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75">
        <f>MainTbl[[#This Row],[F_from_solvents]]+MainTbl[[#This Row],[F_from_salts]]</f>
        <v>6</v>
      </c>
      <c r="AC7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7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5">
        <f>MainTbl[[#This Row],[H_from_solvents]]+MainTbl[[#This Row],[H_from_salts]]</f>
        <v>96.316023080337317</v>
      </c>
      <c r="AF7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</v>
      </c>
      <c r="AH75">
        <f>MainTbl[[#This Row],[Li_from_solvents]]+MainTbl[[#This Row],[Li_from_salts]]</f>
        <v>3</v>
      </c>
      <c r="AI7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184.1056369285397</v>
      </c>
      <c r="AJ75" s="2">
        <f>IFERROR(MainTbl[[#This Row],[O_total]]/MainTbl[[#This Row],[TotalAtoms_all]],0)</f>
        <v>0.16981122977892429</v>
      </c>
      <c r="AK75" s="2">
        <f>IFERROR(MainTbl[[#This Row],[O_from_solvents]]/MainTbl[[#This Row],[TotalAtoms_all]],0)</f>
        <v>0.10463125919139805</v>
      </c>
      <c r="AL75" s="2">
        <f>IFERROR(MainTbl[[#This Row],[O_from_salts]]/MainTbl[[#This Row],[TotalAtoms_all]],0)</f>
        <v>6.5179970587526226E-2</v>
      </c>
      <c r="AM75" s="2">
        <f>IFERROR(MainTbl[[#This Row],[C_total]]/MainTbl[[#This Row],[TotalAtoms_all]],0)</f>
        <v>0.20926251838279611</v>
      </c>
      <c r="AN75" s="2">
        <f>IFERROR(MainTbl[[#This Row],[C_from_solvents]]/MainTbl[[#This Row],[TotalAtoms_all]],0)</f>
        <v>0.20926251838279611</v>
      </c>
      <c r="AO75" s="2">
        <f>IFERROR(MainTbl[[#This Row],[C_from_salts]]/MainTbl[[#This Row],[TotalAtoms_all]],0)</f>
        <v>0</v>
      </c>
      <c r="AP75" s="2">
        <f>IFERROR(MainTbl[[#This Row],[F_total]]/MainTbl[[#This Row],[TotalAtoms_all]],0)</f>
        <v>3.2589985293763113E-2</v>
      </c>
      <c r="AQ75" s="2">
        <f>IFERROR(MainTbl[[#This Row],[F_from_solvents]]/MainTbl[[#This Row],[TotalAtoms_all]],0)</f>
        <v>0</v>
      </c>
      <c r="AR75" s="2">
        <f>IFERROR(MainTbl[[#This Row],[F_from_salts]]/MainTbl[[#This Row],[TotalAtoms_all]],0)</f>
        <v>3.2589985293763113E-2</v>
      </c>
      <c r="AS75" s="2">
        <f>IFERROR(MainTbl[[#This Row],[F_total]]/MainTbl[[#This Row],[O_total]],0)</f>
        <v>0.19191890510534387</v>
      </c>
      <c r="AT75" s="2">
        <f>IFERROR(MainTbl[[#This Row],[F_total]]/MainTbl[[#This Row],[C_total]],0)</f>
        <v>0.15573732718894012</v>
      </c>
      <c r="AU75" s="2">
        <f>IFERROR(MainTbl[[#This Row],[O_total]]/MainTbl[[#This Row],[C_total]],0)</f>
        <v>0.81147465437788024</v>
      </c>
      <c r="AV75" s="2">
        <f>IFERROR((MainTbl[[#This Row],[TotalAtoms_all]]-(MainTbl[[#This Row],[C_total]]+MainTbl[[#This Row],[H_total]]+MainTbl[[#This Row],[Li_total]]))/MainTbl[[#This Row],[C_total]],0)</f>
        <v>1.2008179723502308</v>
      </c>
      <c r="AW75" t="str">
        <f>IFERROR(VLOOKUP(MainTbl[[#This Row],[salt_1_smiles]],SaltTbl[],MATCH("Salt",SaltTbl[#Headers],0),FALSE),"")</f>
        <v>LiFSI</v>
      </c>
      <c r="AX75" t="str">
        <f>IFERROR(VLOOKUP(MainTbl[[#This Row],[salt_2_smiles]],SaltTbl[],MATCH("Salt",SaltTbl[#Headers],0),FALSE),"")</f>
        <v/>
      </c>
      <c r="AY75" t="str">
        <f>IFERROR(VLOOKUP(MainTbl[[#This Row],[solvent_1_smiles]],SolvTbl[],MATCH("Solvent",SolvTbl[#Headers],0),FALSE),"")</f>
        <v>DME (C4H10O2)</v>
      </c>
      <c r="AZ75" t="str">
        <f>IFERROR(VLOOKUP(MainTbl[[#This Row],[solvent_2_smiles]],SolvTbl[],MATCH("Solvent",SolvTbl[#Headers],0),FALSE),"")</f>
        <v/>
      </c>
      <c r="BA75" t="str">
        <f>IFERROR(VLOOKUP(MainTbl[[#This Row],[solvent_3_smiles]],SolvTbl[],MATCH("Solvent",SolvTbl[#Headers],0),FALSE),"")</f>
        <v/>
      </c>
      <c r="BB75">
        <f>--(MainTbl[[#This Row],[solv_1_ratio]]&gt;0)+--(MainTbl[[#This Row],[solv_2_ratio]]&gt;0)+--(MainTbl[[#This Row],[solv_3_ratio]]&gt;0)</f>
        <v>1</v>
      </c>
      <c r="BC75" t="str">
        <f>IF(AND(MainTbl[[#This Row],[SaltName1]]&lt;&gt;"",MainTbl[[#This Row],[salt_1_conc]]&gt;0),TEXT(MainTbl[[#This Row],[salt_1_conc]],"0.###")&amp;" M "&amp;MainTbl[[#This Row],[SaltName1]],"")</f>
        <v>3. M LiFSI</v>
      </c>
      <c r="BD75" t="str">
        <f>IF(AND(MainTbl[[#This Row],[SaltName2]]&lt;&gt;"",MainTbl[[#This Row],[salt_2_conc]]&gt;0),TEXT(MainTbl[[#This Row],[salt_2_conc]],"0.###")&amp;" M "&amp;MainTbl[[#This Row],[SaltName2]],"")</f>
        <v/>
      </c>
      <c r="BE7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3. M LiFSI</v>
      </c>
      <c r="BF75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75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7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75" t="str">
        <f>TRIM(_xlfn.CONCAT(MainTbl[[#This Row],[Salt_text]]," ",MainTbl[[#This Row],[Solvent_text]]))</f>
        <v>3. M LiFSI DME (C4H10O2)</v>
      </c>
    </row>
    <row r="76" spans="1:62" x14ac:dyDescent="0.25">
      <c r="A76" t="s">
        <v>48</v>
      </c>
      <c r="D76" t="s">
        <v>22</v>
      </c>
      <c r="F76" t="s">
        <v>19</v>
      </c>
      <c r="G76">
        <v>1</v>
      </c>
      <c r="H76">
        <v>0</v>
      </c>
      <c r="I76">
        <v>0</v>
      </c>
      <c r="J76">
        <v>3</v>
      </c>
      <c r="K76">
        <v>0</v>
      </c>
      <c r="L76">
        <v>0.95799999999999996</v>
      </c>
      <c r="M76">
        <f t="shared" si="2"/>
        <v>95.8</v>
      </c>
      <c r="N76">
        <f t="shared" si="3"/>
        <v>1.3767507096020992</v>
      </c>
      <c r="O76">
        <f>IFERROR(MainTbl[[#This Row],[solv_1_ratio]]*VLOOKUP(MainTbl[[#This Row],[solvent_1_smiles]],SolvTbl[],13,FALSE),0)</f>
        <v>7.043198282801181</v>
      </c>
      <c r="P76">
        <f>IFERROR(MainTbl[[#This Row],[solv_2_ratio]]*VLOOKUP(MainTbl[[#This Row],[solvent_2_smiles]],SolvTbl[],13,FALSE),0)</f>
        <v>0</v>
      </c>
      <c r="Q76">
        <f>IFERROR(MainTbl[[#This Row],[solv_3_ratio]]*VLOOKUP(MainTbl[[#This Row],[solvent_3_smiles]],SolvTbl[],13,FALSE),0)</f>
        <v>0</v>
      </c>
      <c r="R76">
        <f>IFERROR(MainTbl[[#This Row],[salt_1_conc]],0)</f>
        <v>3</v>
      </c>
      <c r="S76">
        <f>IFERROR(MainTbl[[#This Row],[salt_2_conc]],0)</f>
        <v>0</v>
      </c>
      <c r="T7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21.129594848403542</v>
      </c>
      <c r="U7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12</v>
      </c>
      <c r="V76">
        <f>MainTbl[[#This Row],[O_from_solvents]]+MainTbl[[#This Row],[O_from_salts]]</f>
        <v>33.129594848403542</v>
      </c>
      <c r="W7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42.259189696807084</v>
      </c>
      <c r="X7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6">
        <f>MainTbl[[#This Row],[C_from_solvents]]+MainTbl[[#This Row],[C_from_salts]]</f>
        <v>42.259189696807084</v>
      </c>
      <c r="Z7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7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76">
        <f>MainTbl[[#This Row],[F_from_solvents]]+MainTbl[[#This Row],[F_from_salts]]</f>
        <v>6</v>
      </c>
      <c r="AC7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98.604775959216539</v>
      </c>
      <c r="AD7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6">
        <f>MainTbl[[#This Row],[H_from_solvents]]+MainTbl[[#This Row],[H_from_salts]]</f>
        <v>98.604775959216539</v>
      </c>
      <c r="AF7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</v>
      </c>
      <c r="AH76">
        <f>MainTbl[[#This Row],[Li_from_solvents]]+MainTbl[[#This Row],[Li_from_salts]]</f>
        <v>3</v>
      </c>
      <c r="AI7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191.99356050442717</v>
      </c>
      <c r="AJ76" s="2">
        <f>IFERROR(MainTbl[[#This Row],[O_total]]/MainTbl[[#This Row],[TotalAtoms_all]],0)</f>
        <v>0.17255576052322655</v>
      </c>
      <c r="AK76" s="2">
        <f>IFERROR(MainTbl[[#This Row],[O_from_solvents]]/MainTbl[[#This Row],[TotalAtoms_all]],0)</f>
        <v>0.11005366426295489</v>
      </c>
      <c r="AL76" s="2">
        <f>IFERROR(MainTbl[[#This Row],[O_from_salts]]/MainTbl[[#This Row],[TotalAtoms_all]],0)</f>
        <v>6.2502096260271672E-2</v>
      </c>
      <c r="AM76" s="2">
        <f>IFERROR(MainTbl[[#This Row],[C_total]]/MainTbl[[#This Row],[TotalAtoms_all]],0)</f>
        <v>0.22010732852590978</v>
      </c>
      <c r="AN76" s="2">
        <f>IFERROR(MainTbl[[#This Row],[C_from_solvents]]/MainTbl[[#This Row],[TotalAtoms_all]],0)</f>
        <v>0.22010732852590978</v>
      </c>
      <c r="AO76" s="2">
        <f>IFERROR(MainTbl[[#This Row],[C_from_salts]]/MainTbl[[#This Row],[TotalAtoms_all]],0)</f>
        <v>0</v>
      </c>
      <c r="AP76" s="2">
        <f>IFERROR(MainTbl[[#This Row],[F_total]]/MainTbl[[#This Row],[TotalAtoms_all]],0)</f>
        <v>3.1251048130135836E-2</v>
      </c>
      <c r="AQ76" s="2">
        <f>IFERROR(MainTbl[[#This Row],[F_from_solvents]]/MainTbl[[#This Row],[TotalAtoms_all]],0)</f>
        <v>0</v>
      </c>
      <c r="AR76" s="2">
        <f>IFERROR(MainTbl[[#This Row],[F_from_salts]]/MainTbl[[#This Row],[TotalAtoms_all]],0)</f>
        <v>3.1251048130135836E-2</v>
      </c>
      <c r="AS76" s="2">
        <f>IFERROR(MainTbl[[#This Row],[F_total]]/MainTbl[[#This Row],[O_total]],0)</f>
        <v>0.18110695369065552</v>
      </c>
      <c r="AT76" s="2">
        <f>IFERROR(MainTbl[[#This Row],[F_total]]/MainTbl[[#This Row],[C_total]],0)</f>
        <v>0.14198095238095237</v>
      </c>
      <c r="AU76" s="2">
        <f>IFERROR(MainTbl[[#This Row],[O_total]]/MainTbl[[#This Row],[C_total]],0)</f>
        <v>0.78396190476190475</v>
      </c>
      <c r="AV76" s="2">
        <f>IFERROR((MainTbl[[#This Row],[TotalAtoms_all]]-(MainTbl[[#This Row],[C_total]]+MainTbl[[#This Row],[H_total]]+MainTbl[[#This Row],[Li_total]]))/MainTbl[[#This Row],[C_total]],0)</f>
        <v>1.1389142857142858</v>
      </c>
      <c r="AW76" t="str">
        <f>IFERROR(VLOOKUP(MainTbl[[#This Row],[salt_1_smiles]],SaltTbl[],MATCH("Salt",SaltTbl[#Headers],0),FALSE),"")</f>
        <v>LiFSI</v>
      </c>
      <c r="AX76" t="str">
        <f>IFERROR(VLOOKUP(MainTbl[[#This Row],[salt_2_smiles]],SaltTbl[],MATCH("Salt",SaltTbl[#Headers],0),FALSE),"")</f>
        <v/>
      </c>
      <c r="AY76" t="str">
        <f>IFERROR(VLOOKUP(MainTbl[[#This Row],[solvent_1_smiles]],SolvTbl[],MATCH("Solvent",SolvTbl[#Headers],0),FALSE),"")</f>
        <v>Diglyme</v>
      </c>
      <c r="AZ76" t="str">
        <f>IFERROR(VLOOKUP(MainTbl[[#This Row],[solvent_2_smiles]],SolvTbl[],MATCH("Solvent",SolvTbl[#Headers],0),FALSE),"")</f>
        <v/>
      </c>
      <c r="BA76" t="str">
        <f>IFERROR(VLOOKUP(MainTbl[[#This Row],[solvent_3_smiles]],SolvTbl[],MATCH("Solvent",SolvTbl[#Headers],0),FALSE),"")</f>
        <v/>
      </c>
      <c r="BB76">
        <f>--(MainTbl[[#This Row],[solv_1_ratio]]&gt;0)+--(MainTbl[[#This Row],[solv_2_ratio]]&gt;0)+--(MainTbl[[#This Row],[solv_3_ratio]]&gt;0)</f>
        <v>1</v>
      </c>
      <c r="BC76" t="str">
        <f>IF(AND(MainTbl[[#This Row],[SaltName1]]&lt;&gt;"",MainTbl[[#This Row],[salt_1_conc]]&gt;0),TEXT(MainTbl[[#This Row],[salt_1_conc]],"0.###")&amp;" M "&amp;MainTbl[[#This Row],[SaltName1]],"")</f>
        <v>3. M LiFSI</v>
      </c>
      <c r="BD76" t="str">
        <f>IF(AND(MainTbl[[#This Row],[SaltName2]]&lt;&gt;"",MainTbl[[#This Row],[salt_2_conc]]&gt;0),TEXT(MainTbl[[#This Row],[salt_2_conc]],"0.###")&amp;" M "&amp;MainTbl[[#This Row],[SaltName2]],"")</f>
        <v/>
      </c>
      <c r="BE7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3. M LiFSI</v>
      </c>
      <c r="BF76" t="str">
        <f>IF(MainTbl[[#This Row],[SolvCount]]=1,MainTbl[[#This Row],[SolvName1]],IF(MainTbl[[#This Row],[solv_1_ratio]]&gt;0,MainTbl[[#This Row],[SolvName1]]&amp;" "&amp;TEXT(MainTbl[[#This Row],[solv_1_ratio]]*100,"0.##")&amp;"%",""))</f>
        <v>Diglyme</v>
      </c>
      <c r="BG76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7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Diglyme</v>
      </c>
      <c r="BJ76" t="str">
        <f>TRIM(_xlfn.CONCAT(MainTbl[[#This Row],[Salt_text]]," ",MainTbl[[#This Row],[Solvent_text]]))</f>
        <v>3. M LiFSI Diglyme</v>
      </c>
    </row>
    <row r="77" spans="1:62" x14ac:dyDescent="0.25">
      <c r="A77" t="s">
        <v>50</v>
      </c>
      <c r="D77" t="s">
        <v>22</v>
      </c>
      <c r="F77" t="s">
        <v>19</v>
      </c>
      <c r="G77">
        <v>1</v>
      </c>
      <c r="H77">
        <v>0</v>
      </c>
      <c r="I77">
        <v>0</v>
      </c>
      <c r="J77">
        <v>3</v>
      </c>
      <c r="K77">
        <v>0</v>
      </c>
      <c r="L77">
        <v>0.96399999999999997</v>
      </c>
      <c r="M77">
        <f t="shared" si="2"/>
        <v>96.399999999999991</v>
      </c>
      <c r="N77">
        <f t="shared" si="3"/>
        <v>1.4436974992327123</v>
      </c>
      <c r="O77">
        <f>IFERROR(MainTbl[[#This Row],[solv_1_ratio]]*VLOOKUP(MainTbl[[#This Row],[solvent_1_smiles]],SolvTbl[],13,FALSE),0)</f>
        <v>5.5548074333423108</v>
      </c>
      <c r="P77">
        <f>IFERROR(MainTbl[[#This Row],[solv_2_ratio]]*VLOOKUP(MainTbl[[#This Row],[solvent_2_smiles]],SolvTbl[],13,FALSE),0)</f>
        <v>0</v>
      </c>
      <c r="Q77">
        <f>IFERROR(MainTbl[[#This Row],[solv_3_ratio]]*VLOOKUP(MainTbl[[#This Row],[solvent_3_smiles]],SolvTbl[],13,FALSE),0)</f>
        <v>0</v>
      </c>
      <c r="R77">
        <f>IFERROR(MainTbl[[#This Row],[salt_1_conc]],0)</f>
        <v>3</v>
      </c>
      <c r="S77">
        <f>IFERROR(MainTbl[[#This Row],[salt_2_conc]],0)</f>
        <v>0</v>
      </c>
      <c r="T7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22.219229733369243</v>
      </c>
      <c r="U7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12</v>
      </c>
      <c r="V77">
        <f>MainTbl[[#This Row],[O_from_solvents]]+MainTbl[[#This Row],[O_from_salts]]</f>
        <v>34.219229733369247</v>
      </c>
      <c r="W7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44.438459466738486</v>
      </c>
      <c r="X7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7">
        <f>MainTbl[[#This Row],[C_from_solvents]]+MainTbl[[#This Row],[C_from_salts]]</f>
        <v>44.438459466738486</v>
      </c>
      <c r="Z7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7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77">
        <f>MainTbl[[#This Row],[F_from_solvents]]+MainTbl[[#This Row],[F_from_salts]]</f>
        <v>6</v>
      </c>
      <c r="AC7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99.986533800161595</v>
      </c>
      <c r="AD7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7">
        <f>MainTbl[[#This Row],[H_from_solvents]]+MainTbl[[#This Row],[H_from_salts]]</f>
        <v>99.986533800161595</v>
      </c>
      <c r="AF7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</v>
      </c>
      <c r="AH77">
        <f>MainTbl[[#This Row],[Li_from_solvents]]+MainTbl[[#This Row],[Li_from_salts]]</f>
        <v>3</v>
      </c>
      <c r="AI7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196.64422300026933</v>
      </c>
      <c r="AJ77" s="2">
        <f>IFERROR(MainTbl[[#This Row],[O_total]]/MainTbl[[#This Row],[TotalAtoms_all]],0)</f>
        <v>0.17401594214808119</v>
      </c>
      <c r="AK77" s="2">
        <f>IFERROR(MainTbl[[#This Row],[O_from_solvents]]/MainTbl[[#This Row],[TotalAtoms_all]],0)</f>
        <v>0.1129920289259594</v>
      </c>
      <c r="AL77" s="2">
        <f>IFERROR(MainTbl[[#This Row],[O_from_salts]]/MainTbl[[#This Row],[TotalAtoms_all]],0)</f>
        <v>6.1023913222121778E-2</v>
      </c>
      <c r="AM77" s="2">
        <f>IFERROR(MainTbl[[#This Row],[C_total]]/MainTbl[[#This Row],[TotalAtoms_all]],0)</f>
        <v>0.2259840578519188</v>
      </c>
      <c r="AN77" s="2">
        <f>IFERROR(MainTbl[[#This Row],[C_from_solvents]]/MainTbl[[#This Row],[TotalAtoms_all]],0)</f>
        <v>0.2259840578519188</v>
      </c>
      <c r="AO77" s="2">
        <f>IFERROR(MainTbl[[#This Row],[C_from_salts]]/MainTbl[[#This Row],[TotalAtoms_all]],0)</f>
        <v>0</v>
      </c>
      <c r="AP77" s="2">
        <f>IFERROR(MainTbl[[#This Row],[F_total]]/MainTbl[[#This Row],[TotalAtoms_all]],0)</f>
        <v>3.0511956611060889E-2</v>
      </c>
      <c r="AQ77" s="2">
        <f>IFERROR(MainTbl[[#This Row],[F_from_solvents]]/MainTbl[[#This Row],[TotalAtoms_all]],0)</f>
        <v>0</v>
      </c>
      <c r="AR77" s="2">
        <f>IFERROR(MainTbl[[#This Row],[F_from_salts]]/MainTbl[[#This Row],[TotalAtoms_all]],0)</f>
        <v>3.0511956611060889E-2</v>
      </c>
      <c r="AS77" s="2">
        <f>IFERROR(MainTbl[[#This Row],[F_total]]/MainTbl[[#This Row],[O_total]],0)</f>
        <v>0.17534000755572343</v>
      </c>
      <c r="AT77" s="2">
        <f>IFERROR(MainTbl[[#This Row],[F_total]]/MainTbl[[#This Row],[C_total]],0)</f>
        <v>0.13501818181818181</v>
      </c>
      <c r="AU77" s="2">
        <f>IFERROR(MainTbl[[#This Row],[O_total]]/MainTbl[[#This Row],[C_total]],0)</f>
        <v>0.77003636363636374</v>
      </c>
      <c r="AV77" s="2">
        <f>IFERROR((MainTbl[[#This Row],[TotalAtoms_all]]-(MainTbl[[#This Row],[C_total]]+MainTbl[[#This Row],[H_total]]+MainTbl[[#This Row],[Li_total]]))/MainTbl[[#This Row],[C_total]],0)</f>
        <v>1.1075818181818182</v>
      </c>
      <c r="AW77" t="str">
        <f>IFERROR(VLOOKUP(MainTbl[[#This Row],[salt_1_smiles]],SaltTbl[],MATCH("Salt",SaltTbl[#Headers],0),FALSE),"")</f>
        <v>LiFSI</v>
      </c>
      <c r="AX77" t="str">
        <f>IFERROR(VLOOKUP(MainTbl[[#This Row],[salt_2_smiles]],SaltTbl[],MATCH("Salt",SaltTbl[#Headers],0),FALSE),"")</f>
        <v/>
      </c>
      <c r="AY77" t="str">
        <f>IFERROR(VLOOKUP(MainTbl[[#This Row],[solvent_1_smiles]],SolvTbl[],MATCH("Solvent",SolvTbl[#Headers],0),FALSE),"")</f>
        <v>Triglyme</v>
      </c>
      <c r="AZ77" t="str">
        <f>IFERROR(VLOOKUP(MainTbl[[#This Row],[solvent_2_smiles]],SolvTbl[],MATCH("Solvent",SolvTbl[#Headers],0),FALSE),"")</f>
        <v/>
      </c>
      <c r="BA77" t="str">
        <f>IFERROR(VLOOKUP(MainTbl[[#This Row],[solvent_3_smiles]],SolvTbl[],MATCH("Solvent",SolvTbl[#Headers],0),FALSE),"")</f>
        <v/>
      </c>
      <c r="BB77">
        <f>--(MainTbl[[#This Row],[solv_1_ratio]]&gt;0)+--(MainTbl[[#This Row],[solv_2_ratio]]&gt;0)+--(MainTbl[[#This Row],[solv_3_ratio]]&gt;0)</f>
        <v>1</v>
      </c>
      <c r="BC77" t="str">
        <f>IF(AND(MainTbl[[#This Row],[SaltName1]]&lt;&gt;"",MainTbl[[#This Row],[salt_1_conc]]&gt;0),TEXT(MainTbl[[#This Row],[salt_1_conc]],"0.###")&amp;" M "&amp;MainTbl[[#This Row],[SaltName1]],"")</f>
        <v>3. M LiFSI</v>
      </c>
      <c r="BD77" t="str">
        <f>IF(AND(MainTbl[[#This Row],[SaltName2]]&lt;&gt;"",MainTbl[[#This Row],[salt_2_conc]]&gt;0),TEXT(MainTbl[[#This Row],[salt_2_conc]],"0.###")&amp;" M "&amp;MainTbl[[#This Row],[SaltName2]],"")</f>
        <v/>
      </c>
      <c r="BE7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3. M LiFSI</v>
      </c>
      <c r="BF77" t="str">
        <f>IF(MainTbl[[#This Row],[SolvCount]]=1,MainTbl[[#This Row],[SolvName1]],IF(MainTbl[[#This Row],[solv_1_ratio]]&gt;0,MainTbl[[#This Row],[SolvName1]]&amp;" "&amp;TEXT(MainTbl[[#This Row],[solv_1_ratio]]*100,"0.##")&amp;"%",""))</f>
        <v>Triglyme</v>
      </c>
      <c r="BG77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7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Triglyme</v>
      </c>
      <c r="BJ77" t="str">
        <f>TRIM(_xlfn.CONCAT(MainTbl[[#This Row],[Salt_text]]," ",MainTbl[[#This Row],[Solvent_text]]))</f>
        <v>3. M LiFSI Triglyme</v>
      </c>
    </row>
    <row r="78" spans="1:62" x14ac:dyDescent="0.25">
      <c r="A78" t="s">
        <v>49</v>
      </c>
      <c r="D78" t="s">
        <v>22</v>
      </c>
      <c r="F78" t="s">
        <v>19</v>
      </c>
      <c r="G78">
        <v>1</v>
      </c>
      <c r="H78">
        <v>0</v>
      </c>
      <c r="I78">
        <v>0</v>
      </c>
      <c r="J78">
        <v>3</v>
      </c>
      <c r="K78">
        <v>0</v>
      </c>
      <c r="L78">
        <v>0.97299999999999998</v>
      </c>
      <c r="M78">
        <f t="shared" si="2"/>
        <v>97.3</v>
      </c>
      <c r="N78">
        <f t="shared" si="3"/>
        <v>1.5686362358410122</v>
      </c>
      <c r="O78">
        <f>IFERROR(MainTbl[[#This Row],[solv_1_ratio]]*VLOOKUP(MainTbl[[#This Row],[solvent_1_smiles]],SolvTbl[],13,FALSE),0)</f>
        <v>4.5394014648455068</v>
      </c>
      <c r="P78">
        <f>IFERROR(MainTbl[[#This Row],[solv_2_ratio]]*VLOOKUP(MainTbl[[#This Row],[solvent_2_smiles]],SolvTbl[],13,FALSE),0)</f>
        <v>0</v>
      </c>
      <c r="Q78">
        <f>IFERROR(MainTbl[[#This Row],[solv_3_ratio]]*VLOOKUP(MainTbl[[#This Row],[solvent_3_smiles]],SolvTbl[],13,FALSE),0)</f>
        <v>0</v>
      </c>
      <c r="R78">
        <f>IFERROR(MainTbl[[#This Row],[salt_1_conc]],0)</f>
        <v>3</v>
      </c>
      <c r="S78">
        <f>IFERROR(MainTbl[[#This Row],[salt_2_conc]],0)</f>
        <v>0</v>
      </c>
      <c r="T7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22.697007324227535</v>
      </c>
      <c r="U7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12</v>
      </c>
      <c r="V78">
        <f>MainTbl[[#This Row],[O_from_solvents]]+MainTbl[[#This Row],[O_from_salts]]</f>
        <v>34.697007324227535</v>
      </c>
      <c r="W7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45.39401464845507</v>
      </c>
      <c r="X7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8">
        <f>MainTbl[[#This Row],[C_from_solvents]]+MainTbl[[#This Row],[C_from_salts]]</f>
        <v>45.39401464845507</v>
      </c>
      <c r="Z7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7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78">
        <f>MainTbl[[#This Row],[F_from_solvents]]+MainTbl[[#This Row],[F_from_salts]]</f>
        <v>6</v>
      </c>
      <c r="AC7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99.866832226601147</v>
      </c>
      <c r="AD7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8">
        <f>MainTbl[[#This Row],[H_from_solvents]]+MainTbl[[#This Row],[H_from_salts]]</f>
        <v>99.866832226601147</v>
      </c>
      <c r="AF7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</v>
      </c>
      <c r="AH78">
        <f>MainTbl[[#This Row],[Li_from_solvents]]+MainTbl[[#This Row],[Li_from_salts]]</f>
        <v>3</v>
      </c>
      <c r="AI7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197.95785419928376</v>
      </c>
      <c r="AJ78" s="2">
        <f>IFERROR(MainTbl[[#This Row],[O_total]]/MainTbl[[#This Row],[TotalAtoms_all]],0)</f>
        <v>0.17527471928089364</v>
      </c>
      <c r="AK78" s="2">
        <f>IFERROR(MainTbl[[#This Row],[O_from_solvents]]/MainTbl[[#This Row],[TotalAtoms_all]],0)</f>
        <v>0.11465575546893181</v>
      </c>
      <c r="AL78" s="2">
        <f>IFERROR(MainTbl[[#This Row],[O_from_salts]]/MainTbl[[#This Row],[TotalAtoms_all]],0)</f>
        <v>6.0618963811961836E-2</v>
      </c>
      <c r="AM78" s="2">
        <f>IFERROR(MainTbl[[#This Row],[C_total]]/MainTbl[[#This Row],[TotalAtoms_all]],0)</f>
        <v>0.22931151093786362</v>
      </c>
      <c r="AN78" s="2">
        <f>IFERROR(MainTbl[[#This Row],[C_from_solvents]]/MainTbl[[#This Row],[TotalAtoms_all]],0)</f>
        <v>0.22931151093786362</v>
      </c>
      <c r="AO78" s="2">
        <f>IFERROR(MainTbl[[#This Row],[C_from_salts]]/MainTbl[[#This Row],[TotalAtoms_all]],0)</f>
        <v>0</v>
      </c>
      <c r="AP78" s="2">
        <f>IFERROR(MainTbl[[#This Row],[F_total]]/MainTbl[[#This Row],[TotalAtoms_all]],0)</f>
        <v>3.0309481905980918E-2</v>
      </c>
      <c r="AQ78" s="2">
        <f>IFERROR(MainTbl[[#This Row],[F_from_solvents]]/MainTbl[[#This Row],[TotalAtoms_all]],0)</f>
        <v>0</v>
      </c>
      <c r="AR78" s="2">
        <f>IFERROR(MainTbl[[#This Row],[F_from_salts]]/MainTbl[[#This Row],[TotalAtoms_all]],0)</f>
        <v>3.0309481905980918E-2</v>
      </c>
      <c r="AS78" s="2">
        <f>IFERROR(MainTbl[[#This Row],[F_total]]/MainTbl[[#This Row],[O_total]],0)</f>
        <v>0.17292557666235495</v>
      </c>
      <c r="AT78" s="2">
        <f>IFERROR(MainTbl[[#This Row],[F_total]]/MainTbl[[#This Row],[C_total]],0)</f>
        <v>0.13217601585728445</v>
      </c>
      <c r="AU78" s="2">
        <f>IFERROR(MainTbl[[#This Row],[O_total]]/MainTbl[[#This Row],[C_total]],0)</f>
        <v>0.76435203171456889</v>
      </c>
      <c r="AV78" s="2">
        <f>IFERROR((MainTbl[[#This Row],[TotalAtoms_all]]-(MainTbl[[#This Row],[C_total]]+MainTbl[[#This Row],[H_total]]+MainTbl[[#This Row],[Li_total]]))/MainTbl[[#This Row],[C_total]],0)</f>
        <v>1.0947920713577801</v>
      </c>
      <c r="AW78" t="str">
        <f>IFERROR(VLOOKUP(MainTbl[[#This Row],[salt_1_smiles]],SaltTbl[],MATCH("Salt",SaltTbl[#Headers],0),FALSE),"")</f>
        <v>LiFSI</v>
      </c>
      <c r="AX78" t="str">
        <f>IFERROR(VLOOKUP(MainTbl[[#This Row],[salt_2_smiles]],SaltTbl[],MATCH("Salt",SaltTbl[#Headers],0),FALSE),"")</f>
        <v/>
      </c>
      <c r="AY78" t="str">
        <f>IFERROR(VLOOKUP(MainTbl[[#This Row],[solvent_1_smiles]],SolvTbl[],MATCH("Solvent",SolvTbl[#Headers],0),FALSE),"")</f>
        <v>Tetraglyme</v>
      </c>
      <c r="AZ78" t="str">
        <f>IFERROR(VLOOKUP(MainTbl[[#This Row],[solvent_2_smiles]],SolvTbl[],MATCH("Solvent",SolvTbl[#Headers],0),FALSE),"")</f>
        <v/>
      </c>
      <c r="BA78" t="str">
        <f>IFERROR(VLOOKUP(MainTbl[[#This Row],[solvent_3_smiles]],SolvTbl[],MATCH("Solvent",SolvTbl[#Headers],0),FALSE),"")</f>
        <v/>
      </c>
      <c r="BB78">
        <f>--(MainTbl[[#This Row],[solv_1_ratio]]&gt;0)+--(MainTbl[[#This Row],[solv_2_ratio]]&gt;0)+--(MainTbl[[#This Row],[solv_3_ratio]]&gt;0)</f>
        <v>1</v>
      </c>
      <c r="BC78" t="str">
        <f>IF(AND(MainTbl[[#This Row],[SaltName1]]&lt;&gt;"",MainTbl[[#This Row],[salt_1_conc]]&gt;0),TEXT(MainTbl[[#This Row],[salt_1_conc]],"0.###")&amp;" M "&amp;MainTbl[[#This Row],[SaltName1]],"")</f>
        <v>3. M LiFSI</v>
      </c>
      <c r="BD78" t="str">
        <f>IF(AND(MainTbl[[#This Row],[SaltName2]]&lt;&gt;"",MainTbl[[#This Row],[salt_2_conc]]&gt;0),TEXT(MainTbl[[#This Row],[salt_2_conc]],"0.###")&amp;" M "&amp;MainTbl[[#This Row],[SaltName2]],"")</f>
        <v/>
      </c>
      <c r="BE7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3. M LiFSI</v>
      </c>
      <c r="BF78" t="str">
        <f>IF(MainTbl[[#This Row],[SolvCount]]=1,MainTbl[[#This Row],[SolvName1]],IF(MainTbl[[#This Row],[solv_1_ratio]]&gt;0,MainTbl[[#This Row],[SolvName1]]&amp;" "&amp;TEXT(MainTbl[[#This Row],[solv_1_ratio]]*100,"0.##")&amp;"%",""))</f>
        <v>Tetraglyme</v>
      </c>
      <c r="BG78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7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Tetraglyme</v>
      </c>
      <c r="BJ78" t="str">
        <f>TRIM(_xlfn.CONCAT(MainTbl[[#This Row],[Salt_text]]," ",MainTbl[[#This Row],[Solvent_text]]))</f>
        <v>3. M LiFSI Tetraglyme</v>
      </c>
    </row>
    <row r="79" spans="1:62" x14ac:dyDescent="0.25">
      <c r="A79" t="s">
        <v>49</v>
      </c>
      <c r="D79" t="s">
        <v>22</v>
      </c>
      <c r="G79">
        <v>1</v>
      </c>
      <c r="H79">
        <v>0</v>
      </c>
      <c r="I79">
        <v>0</v>
      </c>
      <c r="J79">
        <v>3</v>
      </c>
      <c r="K79">
        <v>0</v>
      </c>
      <c r="L79">
        <v>0.94</v>
      </c>
      <c r="M79">
        <f t="shared" si="2"/>
        <v>94</v>
      </c>
      <c r="N79">
        <f t="shared" si="3"/>
        <v>1.2218487496163559</v>
      </c>
      <c r="O79">
        <f>IFERROR(MainTbl[[#This Row],[solv_1_ratio]]*VLOOKUP(MainTbl[[#This Row],[solvent_1_smiles]],SolvTbl[],13,FALSE),0)</f>
        <v>4.5394014648455068</v>
      </c>
      <c r="P79">
        <f>IFERROR(MainTbl[[#This Row],[solv_2_ratio]]*VLOOKUP(MainTbl[[#This Row],[solvent_2_smiles]],SolvTbl[],13,FALSE),0)</f>
        <v>0</v>
      </c>
      <c r="Q79">
        <f>IFERROR(MainTbl[[#This Row],[solv_3_ratio]]*VLOOKUP(MainTbl[[#This Row],[solvent_3_smiles]],SolvTbl[],13,FALSE),0)</f>
        <v>0</v>
      </c>
      <c r="R79">
        <f>IFERROR(MainTbl[[#This Row],[salt_1_conc]],0)</f>
        <v>3</v>
      </c>
      <c r="S79">
        <f>IFERROR(MainTbl[[#This Row],[salt_2_conc]],0)</f>
        <v>0</v>
      </c>
      <c r="T7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22.697007324227535</v>
      </c>
      <c r="U7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12</v>
      </c>
      <c r="V79">
        <f>MainTbl[[#This Row],[O_from_solvents]]+MainTbl[[#This Row],[O_from_salts]]</f>
        <v>34.697007324227535</v>
      </c>
      <c r="W7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45.39401464845507</v>
      </c>
      <c r="X7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79">
        <f>MainTbl[[#This Row],[C_from_solvents]]+MainTbl[[#This Row],[C_from_salts]]</f>
        <v>45.39401464845507</v>
      </c>
      <c r="Z7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7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79">
        <f>MainTbl[[#This Row],[F_from_solvents]]+MainTbl[[#This Row],[F_from_salts]]</f>
        <v>6</v>
      </c>
      <c r="AC7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99.866832226601147</v>
      </c>
      <c r="AD7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79">
        <f>MainTbl[[#This Row],[H_from_solvents]]+MainTbl[[#This Row],[H_from_salts]]</f>
        <v>99.866832226601147</v>
      </c>
      <c r="AF7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7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</v>
      </c>
      <c r="AH79">
        <f>MainTbl[[#This Row],[Li_from_solvents]]+MainTbl[[#This Row],[Li_from_salts]]</f>
        <v>3</v>
      </c>
      <c r="AI7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197.95785419928376</v>
      </c>
      <c r="AJ79" s="2">
        <f>IFERROR(MainTbl[[#This Row],[O_total]]/MainTbl[[#This Row],[TotalAtoms_all]],0)</f>
        <v>0.17527471928089364</v>
      </c>
      <c r="AK79" s="2">
        <f>IFERROR(MainTbl[[#This Row],[O_from_solvents]]/MainTbl[[#This Row],[TotalAtoms_all]],0)</f>
        <v>0.11465575546893181</v>
      </c>
      <c r="AL79" s="2">
        <f>IFERROR(MainTbl[[#This Row],[O_from_salts]]/MainTbl[[#This Row],[TotalAtoms_all]],0)</f>
        <v>6.0618963811961836E-2</v>
      </c>
      <c r="AM79" s="2">
        <f>IFERROR(MainTbl[[#This Row],[C_total]]/MainTbl[[#This Row],[TotalAtoms_all]],0)</f>
        <v>0.22931151093786362</v>
      </c>
      <c r="AN79" s="2">
        <f>IFERROR(MainTbl[[#This Row],[C_from_solvents]]/MainTbl[[#This Row],[TotalAtoms_all]],0)</f>
        <v>0.22931151093786362</v>
      </c>
      <c r="AO79" s="2">
        <f>IFERROR(MainTbl[[#This Row],[C_from_salts]]/MainTbl[[#This Row],[TotalAtoms_all]],0)</f>
        <v>0</v>
      </c>
      <c r="AP79" s="2">
        <f>IFERROR(MainTbl[[#This Row],[F_total]]/MainTbl[[#This Row],[TotalAtoms_all]],0)</f>
        <v>3.0309481905980918E-2</v>
      </c>
      <c r="AQ79" s="2">
        <f>IFERROR(MainTbl[[#This Row],[F_from_solvents]]/MainTbl[[#This Row],[TotalAtoms_all]],0)</f>
        <v>0</v>
      </c>
      <c r="AR79" s="2">
        <f>IFERROR(MainTbl[[#This Row],[F_from_salts]]/MainTbl[[#This Row],[TotalAtoms_all]],0)</f>
        <v>3.0309481905980918E-2</v>
      </c>
      <c r="AS79" s="2">
        <f>IFERROR(MainTbl[[#This Row],[F_total]]/MainTbl[[#This Row],[O_total]],0)</f>
        <v>0.17292557666235495</v>
      </c>
      <c r="AT79" s="2">
        <f>IFERROR(MainTbl[[#This Row],[F_total]]/MainTbl[[#This Row],[C_total]],0)</f>
        <v>0.13217601585728445</v>
      </c>
      <c r="AU79" s="2">
        <f>IFERROR(MainTbl[[#This Row],[O_total]]/MainTbl[[#This Row],[C_total]],0)</f>
        <v>0.76435203171456889</v>
      </c>
      <c r="AV79" s="2">
        <f>IFERROR((MainTbl[[#This Row],[TotalAtoms_all]]-(MainTbl[[#This Row],[C_total]]+MainTbl[[#This Row],[H_total]]+MainTbl[[#This Row],[Li_total]]))/MainTbl[[#This Row],[C_total]],0)</f>
        <v>1.0947920713577801</v>
      </c>
      <c r="AW79" t="str">
        <f>IFERROR(VLOOKUP(MainTbl[[#This Row],[salt_1_smiles]],SaltTbl[],MATCH("Salt",SaltTbl[#Headers],0),FALSE),"")</f>
        <v>LiFSI</v>
      </c>
      <c r="AX79" t="str">
        <f>IFERROR(VLOOKUP(MainTbl[[#This Row],[salt_2_smiles]],SaltTbl[],MATCH("Salt",SaltTbl[#Headers],0),FALSE),"")</f>
        <v/>
      </c>
      <c r="AY79" t="str">
        <f>IFERROR(VLOOKUP(MainTbl[[#This Row],[solvent_1_smiles]],SolvTbl[],MATCH("Solvent",SolvTbl[#Headers],0),FALSE),"")</f>
        <v>Tetraglyme</v>
      </c>
      <c r="AZ79" t="str">
        <f>IFERROR(VLOOKUP(MainTbl[[#This Row],[solvent_2_smiles]],SolvTbl[],MATCH("Solvent",SolvTbl[#Headers],0),FALSE),"")</f>
        <v/>
      </c>
      <c r="BA79" t="str">
        <f>IFERROR(VLOOKUP(MainTbl[[#This Row],[solvent_3_smiles]],SolvTbl[],MATCH("Solvent",SolvTbl[#Headers],0),FALSE),"")</f>
        <v/>
      </c>
      <c r="BB79">
        <f>--(MainTbl[[#This Row],[solv_1_ratio]]&gt;0)+--(MainTbl[[#This Row],[solv_2_ratio]]&gt;0)+--(MainTbl[[#This Row],[solv_3_ratio]]&gt;0)</f>
        <v>1</v>
      </c>
      <c r="BC79" t="str">
        <f>IF(AND(MainTbl[[#This Row],[SaltName1]]&lt;&gt;"",MainTbl[[#This Row],[salt_1_conc]]&gt;0),TEXT(MainTbl[[#This Row],[salt_1_conc]],"0.###")&amp;" M "&amp;MainTbl[[#This Row],[SaltName1]],"")</f>
        <v>3. M LiFSI</v>
      </c>
      <c r="BD79" t="str">
        <f>IF(AND(MainTbl[[#This Row],[SaltName2]]&lt;&gt;"",MainTbl[[#This Row],[salt_2_conc]]&gt;0),TEXT(MainTbl[[#This Row],[salt_2_conc]],"0.###")&amp;" M "&amp;MainTbl[[#This Row],[SaltName2]],"")</f>
        <v/>
      </c>
      <c r="BE7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3. M LiFSI</v>
      </c>
      <c r="BF79" t="str">
        <f>IF(MainTbl[[#This Row],[SolvCount]]=1,MainTbl[[#This Row],[SolvName1]],IF(MainTbl[[#This Row],[solv_1_ratio]]&gt;0,MainTbl[[#This Row],[SolvName1]]&amp;" "&amp;TEXT(MainTbl[[#This Row],[solv_1_ratio]]*100,"0.##")&amp;"%",""))</f>
        <v>Tetraglyme</v>
      </c>
      <c r="BG79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7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7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Tetraglyme</v>
      </c>
      <c r="BJ79" t="str">
        <f>TRIM(_xlfn.CONCAT(MainTbl[[#This Row],[Salt_text]]," ",MainTbl[[#This Row],[Solvent_text]]))</f>
        <v>3. M LiFSI Tetraglyme</v>
      </c>
    </row>
    <row r="80" spans="1:62" x14ac:dyDescent="0.25">
      <c r="A80" t="s">
        <v>20</v>
      </c>
      <c r="B80" t="s">
        <v>51</v>
      </c>
      <c r="D80" t="s">
        <v>22</v>
      </c>
      <c r="G80">
        <v>0.5</v>
      </c>
      <c r="H80">
        <v>0.5</v>
      </c>
      <c r="I80">
        <v>0</v>
      </c>
      <c r="J80">
        <v>1</v>
      </c>
      <c r="K80">
        <v>0</v>
      </c>
      <c r="L80">
        <v>0.98799999999999999</v>
      </c>
      <c r="M80">
        <f t="shared" si="2"/>
        <v>98.8</v>
      </c>
      <c r="N80">
        <f t="shared" si="3"/>
        <v>1.9208187539523749</v>
      </c>
      <c r="O80">
        <f>IFERROR(MainTbl[[#This Row],[solv_1_ratio]]*VLOOKUP(MainTbl[[#This Row],[solvent_1_smiles]],SolvTbl[],13,FALSE),0)</f>
        <v>7.1546208050973297</v>
      </c>
      <c r="P80">
        <f>IFERROR(MainTbl[[#This Row],[solv_2_ratio]]*VLOOKUP(MainTbl[[#This Row],[solvent_2_smiles]],SolvTbl[],13,FALSE),0)</f>
        <v>3.301203884833809</v>
      </c>
      <c r="Q80">
        <f>IFERROR(MainTbl[[#This Row],[solv_3_ratio]]*VLOOKUP(MainTbl[[#This Row],[solvent_3_smiles]],SolvTbl[],13,FALSE),0)</f>
        <v>0</v>
      </c>
      <c r="R80">
        <f>IFERROR(MainTbl[[#This Row],[salt_1_conc]],0)</f>
        <v>1</v>
      </c>
      <c r="S80">
        <f>IFERROR(MainTbl[[#This Row],[salt_2_conc]],0)</f>
        <v>0</v>
      </c>
      <c r="T8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17.610445495028468</v>
      </c>
      <c r="U8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80">
        <f>MainTbl[[#This Row],[O_from_solvents]]+MainTbl[[#This Row],[O_from_salts]]</f>
        <v>21.610445495028468</v>
      </c>
      <c r="W8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37.969881839461038</v>
      </c>
      <c r="X8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0">
        <f>MainTbl[[#This Row],[C_from_solvents]]+MainTbl[[#This Row],[C_from_salts]]</f>
        <v>37.969881839461038</v>
      </c>
      <c r="Z8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26.409631078670472</v>
      </c>
      <c r="AA8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80">
        <f>MainTbl[[#This Row],[F_from_solvents]]+MainTbl[[#This Row],[F_from_salts]]</f>
        <v>28.409631078670472</v>
      </c>
      <c r="AC8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56.132540369919212</v>
      </c>
      <c r="AD8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0">
        <f>MainTbl[[#This Row],[H_from_solvents]]+MainTbl[[#This Row],[H_from_salts]]</f>
        <v>56.132540369919212</v>
      </c>
      <c r="AF8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80">
        <f>MainTbl[[#This Row],[Li_from_solvents]]+MainTbl[[#This Row],[Li_from_salts]]</f>
        <v>1</v>
      </c>
      <c r="AI8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148.12249878307921</v>
      </c>
      <c r="AJ80" s="2">
        <f>IFERROR(MainTbl[[#This Row],[O_total]]/MainTbl[[#This Row],[TotalAtoms_all]],0)</f>
        <v>0.14589576649443575</v>
      </c>
      <c r="AK80" s="2">
        <f>IFERROR(MainTbl[[#This Row],[O_from_solvents]]/MainTbl[[#This Row],[TotalAtoms_all]],0)</f>
        <v>0.11889109108818383</v>
      </c>
      <c r="AL80" s="2">
        <f>IFERROR(MainTbl[[#This Row],[O_from_salts]]/MainTbl[[#This Row],[TotalAtoms_all]],0)</f>
        <v>2.7004675406251927E-2</v>
      </c>
      <c r="AM80" s="2">
        <f>IFERROR(MainTbl[[#This Row],[C_total]]/MainTbl[[#This Row],[TotalAtoms_all]],0)</f>
        <v>0.25634108357209628</v>
      </c>
      <c r="AN80" s="2">
        <f>IFERROR(MainTbl[[#This Row],[C_from_solvents]]/MainTbl[[#This Row],[TotalAtoms_all]],0)</f>
        <v>0.25634108357209628</v>
      </c>
      <c r="AO80" s="2">
        <f>IFERROR(MainTbl[[#This Row],[C_from_salts]]/MainTbl[[#This Row],[TotalAtoms_all]],0)</f>
        <v>0</v>
      </c>
      <c r="AP80" s="2">
        <f>IFERROR(MainTbl[[#This Row],[F_total]]/MainTbl[[#This Row],[TotalAtoms_all]],0)</f>
        <v>0.19179821642271572</v>
      </c>
      <c r="AQ80" s="2">
        <f>IFERROR(MainTbl[[#This Row],[F_from_solvents]]/MainTbl[[#This Row],[TotalAtoms_all]],0)</f>
        <v>0.17829587871958977</v>
      </c>
      <c r="AR80" s="2">
        <f>IFERROR(MainTbl[[#This Row],[F_from_salts]]/MainTbl[[#This Row],[TotalAtoms_all]],0)</f>
        <v>1.3502337703125963E-2</v>
      </c>
      <c r="AS80" s="2">
        <f>IFERROR(MainTbl[[#This Row],[F_total]]/MainTbl[[#This Row],[O_total]],0)</f>
        <v>1.314624961581943</v>
      </c>
      <c r="AT80" s="2">
        <f>IFERROR(MainTbl[[#This Row],[F_total]]/MainTbl[[#This Row],[C_total]],0)</f>
        <v>0.74821489302463762</v>
      </c>
      <c r="AU80" s="2">
        <f>IFERROR(MainTbl[[#This Row],[O_total]]/MainTbl[[#This Row],[C_total]],0)</f>
        <v>0.56914703043846016</v>
      </c>
      <c r="AV80" s="2">
        <f>IFERROR((MainTbl[[#This Row],[TotalAtoms_all]]-(MainTbl[[#This Row],[C_total]]+MainTbl[[#This Row],[H_total]]+MainTbl[[#This Row],[Li_total]]))/MainTbl[[#This Row],[C_total]],0)</f>
        <v>1.3963719138729758</v>
      </c>
      <c r="AW80" t="str">
        <f>IFERROR(VLOOKUP(MainTbl[[#This Row],[salt_1_smiles]],SaltTbl[],MATCH("Salt",SaltTbl[#Headers],0),FALSE),"")</f>
        <v>LiFSI</v>
      </c>
      <c r="AX80" t="str">
        <f>IFERROR(VLOOKUP(MainTbl[[#This Row],[salt_2_smiles]],SaltTbl[],MATCH("Salt",SaltTbl[#Headers],0),FALSE),"")</f>
        <v/>
      </c>
      <c r="AY80" t="str">
        <f>IFERROR(VLOOKUP(MainTbl[[#This Row],[solvent_1_smiles]],SolvTbl[],MATCH("Solvent",SolvTbl[#Headers],0),FALSE),"")</f>
        <v>1,3-dioxolane (	C3H6O2)</v>
      </c>
      <c r="AZ80" t="str">
        <f>IFERROR(VLOOKUP(MainTbl[[#This Row],[solvent_2_smiles]],SolvTbl[],MATCH("Solvent",SolvTbl[#Headers],0),FALSE),"")</f>
        <v>TTE (C5H4F8O)</v>
      </c>
      <c r="BA80" t="str">
        <f>IFERROR(VLOOKUP(MainTbl[[#This Row],[solvent_3_smiles]],SolvTbl[],MATCH("Solvent",SolvTbl[#Headers],0),FALSE),"")</f>
        <v/>
      </c>
      <c r="BB80">
        <f>--(MainTbl[[#This Row],[solv_1_ratio]]&gt;0)+--(MainTbl[[#This Row],[solv_2_ratio]]&gt;0)+--(MainTbl[[#This Row],[solv_3_ratio]]&gt;0)</f>
        <v>2</v>
      </c>
      <c r="BC80" t="str">
        <f>IF(AND(MainTbl[[#This Row],[SaltName1]]&lt;&gt;"",MainTbl[[#This Row],[salt_1_conc]]&gt;0),TEXT(MainTbl[[#This Row],[salt_1_conc]],"0.###")&amp;" M "&amp;MainTbl[[#This Row],[SaltName1]],"")</f>
        <v>1. M LiFSI</v>
      </c>
      <c r="BD80" t="str">
        <f>IF(AND(MainTbl[[#This Row],[SaltName2]]&lt;&gt;"",MainTbl[[#This Row],[salt_2_conc]]&gt;0),TEXT(MainTbl[[#This Row],[salt_2_conc]],"0.###")&amp;" M "&amp;MainTbl[[#This Row],[SaltName2]],"")</f>
        <v/>
      </c>
      <c r="BE8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80" t="str">
        <f>IF(MainTbl[[#This Row],[SolvCount]]=1,MainTbl[[#This Row],[SolvName1]],IF(MainTbl[[#This Row],[solv_1_ratio]]&gt;0,MainTbl[[#This Row],[SolvName1]]&amp;" "&amp;TEXT(MainTbl[[#This Row],[solv_1_ratio]]*100,"0.##")&amp;"%",""))</f>
        <v>1,3-dioxolane (	C3H6O2) 50.%</v>
      </c>
      <c r="BG80" t="str">
        <f>IF(MainTbl[[#This Row],[SolvCount]]=1,MainTbl[[#This Row],[SolvName2]],IF(MainTbl[[#This Row],[solv_2_ratio]]&gt;0,MainTbl[[#This Row],[SolvName2]]&amp;" "&amp;TEXT(MainTbl[[#This Row],[solv_2_ratio]]*100,"0.##")&amp;"%",""))</f>
        <v>TTE (C5H4F8O) 50.%</v>
      </c>
      <c r="BH8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1,3-dioxolane (	C3H6O2) 50.% + TTE (C5H4F8O) 50.%</v>
      </c>
      <c r="BJ80" t="str">
        <f>TRIM(_xlfn.CONCAT(MainTbl[[#This Row],[Salt_text]]," ",MainTbl[[#This Row],[Solvent_text]]))</f>
        <v>1. M LiFSI 1,3-dioxolane (	C3H6O2) 50.% + TTE (C5H4F8O) 50.%</v>
      </c>
    </row>
    <row r="81" spans="1:62" x14ac:dyDescent="0.25">
      <c r="A81" t="s">
        <v>18</v>
      </c>
      <c r="B81" t="s">
        <v>51</v>
      </c>
      <c r="D81" t="s">
        <v>22</v>
      </c>
      <c r="G81">
        <v>0.33333333300000001</v>
      </c>
      <c r="H81">
        <v>0.66666666699999999</v>
      </c>
      <c r="I81">
        <v>0</v>
      </c>
      <c r="J81">
        <v>1</v>
      </c>
      <c r="K81">
        <v>0</v>
      </c>
      <c r="L81">
        <v>0.97699999999999998</v>
      </c>
      <c r="M81">
        <f t="shared" si="2"/>
        <v>97.7</v>
      </c>
      <c r="N81">
        <f t="shared" si="3"/>
        <v>1.6382721639824067</v>
      </c>
      <c r="O81">
        <f>IFERROR(MainTbl[[#This Row],[solv_1_ratio]]*VLOOKUP(MainTbl[[#This Row],[solvent_1_smiles]],SolvTbl[],13,FALSE),0)</f>
        <v>3.2105340994673761</v>
      </c>
      <c r="P81">
        <f>IFERROR(MainTbl[[#This Row],[solv_2_ratio]]*VLOOKUP(MainTbl[[#This Row],[solvent_2_smiles]],SolvTbl[],13,FALSE),0)</f>
        <v>4.4016051819792148</v>
      </c>
      <c r="Q81">
        <f>IFERROR(MainTbl[[#This Row],[solv_3_ratio]]*VLOOKUP(MainTbl[[#This Row],[solvent_3_smiles]],SolvTbl[],13,FALSE),0)</f>
        <v>0</v>
      </c>
      <c r="R81">
        <f>IFERROR(MainTbl[[#This Row],[salt_1_conc]],0)</f>
        <v>1</v>
      </c>
      <c r="S81">
        <f>IFERROR(MainTbl[[#This Row],[salt_2_conc]],0)</f>
        <v>0</v>
      </c>
      <c r="T8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10.822673380913967</v>
      </c>
      <c r="U8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81">
        <f>MainTbl[[#This Row],[O_from_solvents]]+MainTbl[[#This Row],[O_from_salts]]</f>
        <v>14.822673380913967</v>
      </c>
      <c r="W8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34.850162307765579</v>
      </c>
      <c r="X8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1">
        <f>MainTbl[[#This Row],[C_from_solvents]]+MainTbl[[#This Row],[C_from_salts]]</f>
        <v>34.850162307765579</v>
      </c>
      <c r="Z8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35.212841455833718</v>
      </c>
      <c r="AA8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81">
        <f>MainTbl[[#This Row],[F_from_solvents]]+MainTbl[[#This Row],[F_from_salts]]</f>
        <v>37.212841455833718</v>
      </c>
      <c r="AC8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49.711761722590623</v>
      </c>
      <c r="AD8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1">
        <f>MainTbl[[#This Row],[H_from_solvents]]+MainTbl[[#This Row],[H_from_salts]]</f>
        <v>49.711761722590623</v>
      </c>
      <c r="AF8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81">
        <f>MainTbl[[#This Row],[Li_from_solvents]]+MainTbl[[#This Row],[Li_from_salts]]</f>
        <v>1</v>
      </c>
      <c r="AI8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140.59743886710388</v>
      </c>
      <c r="AJ81" s="2">
        <f>IFERROR(MainTbl[[#This Row],[O_total]]/MainTbl[[#This Row],[TotalAtoms_all]],0)</f>
        <v>0.10542633991309557</v>
      </c>
      <c r="AK81" s="2">
        <f>IFERROR(MainTbl[[#This Row],[O_from_solvents]]/MainTbl[[#This Row],[TotalAtoms_all]],0)</f>
        <v>7.6976319541238736E-2</v>
      </c>
      <c r="AL81" s="2">
        <f>IFERROR(MainTbl[[#This Row],[O_from_salts]]/MainTbl[[#This Row],[TotalAtoms_all]],0)</f>
        <v>2.8450020371856826E-2</v>
      </c>
      <c r="AM81" s="2">
        <f>IFERROR(MainTbl[[#This Row],[C_total]]/MainTbl[[#This Row],[TotalAtoms_all]],0)</f>
        <v>0.24787195690461192</v>
      </c>
      <c r="AN81" s="2">
        <f>IFERROR(MainTbl[[#This Row],[C_from_solvents]]/MainTbl[[#This Row],[TotalAtoms_all]],0)</f>
        <v>0.24787195690461192</v>
      </c>
      <c r="AO81" s="2">
        <f>IFERROR(MainTbl[[#This Row],[C_from_salts]]/MainTbl[[#This Row],[TotalAtoms_all]],0)</f>
        <v>0</v>
      </c>
      <c r="AP81" s="2">
        <f>IFERROR(MainTbl[[#This Row],[F_total]]/MainTbl[[#This Row],[TotalAtoms_all]],0)</f>
        <v>0.26467652437828687</v>
      </c>
      <c r="AQ81" s="2">
        <f>IFERROR(MainTbl[[#This Row],[F_from_solvents]]/MainTbl[[#This Row],[TotalAtoms_all]],0)</f>
        <v>0.25045151419235845</v>
      </c>
      <c r="AR81" s="2">
        <f>IFERROR(MainTbl[[#This Row],[F_from_salts]]/MainTbl[[#This Row],[TotalAtoms_all]],0)</f>
        <v>1.4225010185928413E-2</v>
      </c>
      <c r="AS81" s="2">
        <f>IFERROR(MainTbl[[#This Row],[F_total]]/MainTbl[[#This Row],[O_total]],0)</f>
        <v>2.5105350768741808</v>
      </c>
      <c r="AT81" s="2">
        <f>IFERROR(MainTbl[[#This Row],[F_total]]/MainTbl[[#This Row],[C_total]],0)</f>
        <v>1.0677953556486499</v>
      </c>
      <c r="AU81" s="2">
        <f>IFERROR(MainTbl[[#This Row],[O_total]]/MainTbl[[#This Row],[C_total]],0)</f>
        <v>0.42532580623336341</v>
      </c>
      <c r="AV81" s="2">
        <f>IFERROR((MainTbl[[#This Row],[TotalAtoms_all]]-(MainTbl[[#This Row],[C_total]]+MainTbl[[#This Row],[H_total]]+MainTbl[[#This Row],[Li_total]]))/MainTbl[[#This Row],[C_total]],0)</f>
        <v>1.5792039747397169</v>
      </c>
      <c r="AW81" t="str">
        <f>IFERROR(VLOOKUP(MainTbl[[#This Row],[salt_1_smiles]],SaltTbl[],MATCH("Salt",SaltTbl[#Headers],0),FALSE),"")</f>
        <v>LiFSI</v>
      </c>
      <c r="AX81" t="str">
        <f>IFERROR(VLOOKUP(MainTbl[[#This Row],[salt_2_smiles]],SaltTbl[],MATCH("Salt",SaltTbl[#Headers],0),FALSE),"")</f>
        <v/>
      </c>
      <c r="AY81" t="str">
        <f>IFERROR(VLOOKUP(MainTbl[[#This Row],[solvent_1_smiles]],SolvTbl[],MATCH("Solvent",SolvTbl[#Headers],0),FALSE),"")</f>
        <v>DME (C4H10O2)</v>
      </c>
      <c r="AZ81" t="str">
        <f>IFERROR(VLOOKUP(MainTbl[[#This Row],[solvent_2_smiles]],SolvTbl[],MATCH("Solvent",SolvTbl[#Headers],0),FALSE),"")</f>
        <v>TTE (C5H4F8O)</v>
      </c>
      <c r="BA81" t="str">
        <f>IFERROR(VLOOKUP(MainTbl[[#This Row],[solvent_3_smiles]],SolvTbl[],MATCH("Solvent",SolvTbl[#Headers],0),FALSE),"")</f>
        <v/>
      </c>
      <c r="BB81">
        <f>--(MainTbl[[#This Row],[solv_1_ratio]]&gt;0)+--(MainTbl[[#This Row],[solv_2_ratio]]&gt;0)+--(MainTbl[[#This Row],[solv_3_ratio]]&gt;0)</f>
        <v>2</v>
      </c>
      <c r="BC81" t="str">
        <f>IF(AND(MainTbl[[#This Row],[SaltName1]]&lt;&gt;"",MainTbl[[#This Row],[salt_1_conc]]&gt;0),TEXT(MainTbl[[#This Row],[salt_1_conc]],"0.###")&amp;" M "&amp;MainTbl[[#This Row],[SaltName1]],"")</f>
        <v>1. M LiFSI</v>
      </c>
      <c r="BD81" t="str">
        <f>IF(AND(MainTbl[[#This Row],[SaltName2]]&lt;&gt;"",MainTbl[[#This Row],[salt_2_conc]]&gt;0),TEXT(MainTbl[[#This Row],[salt_2_conc]],"0.###")&amp;" M "&amp;MainTbl[[#This Row],[SaltName2]],"")</f>
        <v/>
      </c>
      <c r="BE8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81" t="str">
        <f>IF(MainTbl[[#This Row],[SolvCount]]=1,MainTbl[[#This Row],[SolvName1]],IF(MainTbl[[#This Row],[solv_1_ratio]]&gt;0,MainTbl[[#This Row],[SolvName1]]&amp;" "&amp;TEXT(MainTbl[[#This Row],[solv_1_ratio]]*100,"0.##")&amp;"%",""))</f>
        <v>DME (C4H10O2) 33.33%</v>
      </c>
      <c r="BG81" t="str">
        <f>IF(MainTbl[[#This Row],[SolvCount]]=1,MainTbl[[#This Row],[SolvName2]],IF(MainTbl[[#This Row],[solv_2_ratio]]&gt;0,MainTbl[[#This Row],[SolvName2]]&amp;" "&amp;TEXT(MainTbl[[#This Row],[solv_2_ratio]]*100,"0.##")&amp;"%",""))</f>
        <v>TTE (C5H4F8O) 66.67%</v>
      </c>
      <c r="BH8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33.33% + TTE (C5H4F8O) 66.67%</v>
      </c>
      <c r="BJ81" t="str">
        <f>TRIM(_xlfn.CONCAT(MainTbl[[#This Row],[Salt_text]]," ",MainTbl[[#This Row],[Solvent_text]]))</f>
        <v>1. M LiFSI DME (C4H10O2) 33.33% + TTE (C5H4F8O) 66.67%</v>
      </c>
    </row>
    <row r="82" spans="1:62" x14ac:dyDescent="0.25">
      <c r="A82" t="s">
        <v>19</v>
      </c>
      <c r="B82" t="s">
        <v>38</v>
      </c>
      <c r="C82" t="s">
        <v>27</v>
      </c>
      <c r="D82" t="s">
        <v>29</v>
      </c>
      <c r="G82">
        <v>0.314983809</v>
      </c>
      <c r="H82">
        <v>0.29614365599999998</v>
      </c>
      <c r="I82">
        <v>0.38887253500000002</v>
      </c>
      <c r="J82">
        <v>1</v>
      </c>
      <c r="K82">
        <v>0</v>
      </c>
      <c r="L82">
        <v>0.84899999999999998</v>
      </c>
      <c r="M82">
        <f t="shared" si="2"/>
        <v>84.899999999999991</v>
      </c>
      <c r="N82">
        <f t="shared" si="3"/>
        <v>0.82102305270683051</v>
      </c>
      <c r="O82">
        <f>IFERROR(MainTbl[[#This Row],[solv_1_ratio]]*VLOOKUP(MainTbl[[#This Row],[solvent_1_smiles]],SolvTbl[],13,FALSE),0)</f>
        <v>4.7214306724807527</v>
      </c>
      <c r="P82">
        <f>IFERROR(MainTbl[[#This Row],[solv_2_ratio]]*VLOOKUP(MainTbl[[#This Row],[solvent_2_smiles]],SolvTbl[],13,FALSE),0)</f>
        <v>2.8617586061630673</v>
      </c>
      <c r="Q82">
        <f>IFERROR(MainTbl[[#This Row],[solv_3_ratio]]*VLOOKUP(MainTbl[[#This Row],[solvent_3_smiles]],SolvTbl[],13,FALSE),0)</f>
        <v>4.6192590027531697</v>
      </c>
      <c r="R82">
        <f>IFERROR(MainTbl[[#This Row],[salt_1_conc]],0)</f>
        <v>1</v>
      </c>
      <c r="S82">
        <f>IFERROR(MainTbl[[#This Row],[salt_2_conc]],0)</f>
        <v>0</v>
      </c>
      <c r="T8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36.607344844190969</v>
      </c>
      <c r="U8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82">
        <f>MainTbl[[#This Row],[O_from_solvents]]+MainTbl[[#This Row],[O_from_salts]]</f>
        <v>36.607344844190969</v>
      </c>
      <c r="W8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39.469103450354034</v>
      </c>
      <c r="X8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2">
        <f>MainTbl[[#This Row],[C_from_solvents]]+MainTbl[[#This Row],[C_from_salts]]</f>
        <v>39.469103450354034</v>
      </c>
      <c r="Z8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8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82">
        <f>MainTbl[[#This Row],[F_from_solvents]]+MainTbl[[#This Row],[F_from_salts]]</f>
        <v>6</v>
      </c>
      <c r="AC8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69.495345555746567</v>
      </c>
      <c r="AD8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2">
        <f>MainTbl[[#This Row],[H_from_solvents]]+MainTbl[[#This Row],[H_from_salts]]</f>
        <v>69.495345555746567</v>
      </c>
      <c r="AF8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82">
        <f>MainTbl[[#This Row],[Li_from_solvents]]+MainTbl[[#This Row],[Li_from_salts]]</f>
        <v>1</v>
      </c>
      <c r="AI8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153.57179385029158</v>
      </c>
      <c r="AJ82" s="2">
        <f>IFERROR(MainTbl[[#This Row],[O_total]]/MainTbl[[#This Row],[TotalAtoms_all]],0)</f>
        <v>0.23837284130364061</v>
      </c>
      <c r="AK82" s="2">
        <f>IFERROR(MainTbl[[#This Row],[O_from_solvents]]/MainTbl[[#This Row],[TotalAtoms_all]],0)</f>
        <v>0.23837284130364061</v>
      </c>
      <c r="AL82" s="2">
        <f>IFERROR(MainTbl[[#This Row],[O_from_salts]]/MainTbl[[#This Row],[TotalAtoms_all]],0)</f>
        <v>0</v>
      </c>
      <c r="AM82" s="2">
        <f>IFERROR(MainTbl[[#This Row],[C_total]]/MainTbl[[#This Row],[TotalAtoms_all]],0)</f>
        <v>0.25700750418289847</v>
      </c>
      <c r="AN82" s="2">
        <f>IFERROR(MainTbl[[#This Row],[C_from_solvents]]/MainTbl[[#This Row],[TotalAtoms_all]],0)</f>
        <v>0.25700750418289847</v>
      </c>
      <c r="AO82" s="2">
        <f>IFERROR(MainTbl[[#This Row],[C_from_salts]]/MainTbl[[#This Row],[TotalAtoms_all]],0)</f>
        <v>0</v>
      </c>
      <c r="AP82" s="2">
        <f>IFERROR(MainTbl[[#This Row],[F_total]]/MainTbl[[#This Row],[TotalAtoms_all]],0)</f>
        <v>3.9069674512293963E-2</v>
      </c>
      <c r="AQ82" s="2">
        <f>IFERROR(MainTbl[[#This Row],[F_from_solvents]]/MainTbl[[#This Row],[TotalAtoms_all]],0)</f>
        <v>0</v>
      </c>
      <c r="AR82" s="2">
        <f>IFERROR(MainTbl[[#This Row],[F_from_salts]]/MainTbl[[#This Row],[TotalAtoms_all]],0)</f>
        <v>3.9069674512293963E-2</v>
      </c>
      <c r="AS82" s="2">
        <f>IFERROR(MainTbl[[#This Row],[F_total]]/MainTbl[[#This Row],[O_total]],0)</f>
        <v>0.16390153466571639</v>
      </c>
      <c r="AT82" s="2">
        <f>IFERROR(MainTbl[[#This Row],[F_total]]/MainTbl[[#This Row],[C_total]],0)</f>
        <v>0.15201764102767276</v>
      </c>
      <c r="AU82" s="2">
        <f>IFERROR(MainTbl[[#This Row],[O_total]]/MainTbl[[#This Row],[C_total]],0)</f>
        <v>0.92749370125007502</v>
      </c>
      <c r="AV82" s="2">
        <f>IFERROR((MainTbl[[#This Row],[TotalAtoms_all]]-(MainTbl[[#This Row],[C_total]]+MainTbl[[#This Row],[H_total]]+MainTbl[[#This Row],[Li_total]]))/MainTbl[[#This Row],[C_total]],0)</f>
        <v>1.1048476157823601</v>
      </c>
      <c r="AW82" t="str">
        <f>IFERROR(VLOOKUP(MainTbl[[#This Row],[salt_1_smiles]],SaltTbl[],MATCH("Salt",SaltTbl[#Headers],0),FALSE),"")</f>
        <v>LiPF6</v>
      </c>
      <c r="AX82" t="str">
        <f>IFERROR(VLOOKUP(MainTbl[[#This Row],[salt_2_smiles]],SaltTbl[],MATCH("Salt",SaltTbl[#Headers],0),FALSE),"")</f>
        <v/>
      </c>
      <c r="AY82" t="str">
        <f>IFERROR(VLOOKUP(MainTbl[[#This Row],[solvent_1_smiles]],SolvTbl[],MATCH("Solvent",SolvTbl[#Headers],0),FALSE),"")</f>
        <v>Ethylene carbonate</v>
      </c>
      <c r="AZ82" t="str">
        <f>IFERROR(VLOOKUP(MainTbl[[#This Row],[solvent_2_smiles]],SolvTbl[],MATCH("Solvent",SolvTbl[#Headers],0),FALSE),"")</f>
        <v>EMC (C4H8O3)</v>
      </c>
      <c r="BA82" t="str">
        <f>IFERROR(VLOOKUP(MainTbl[[#This Row],[solvent_3_smiles]],SolvTbl[],MATCH("Solvent",SolvTbl[#Headers],0),FALSE),"")</f>
        <v>DMC (C3H6O3)</v>
      </c>
      <c r="BB82">
        <f>--(MainTbl[[#This Row],[solv_1_ratio]]&gt;0)+--(MainTbl[[#This Row],[solv_2_ratio]]&gt;0)+--(MainTbl[[#This Row],[solv_3_ratio]]&gt;0)</f>
        <v>3</v>
      </c>
      <c r="BC82" t="str">
        <f>IF(AND(MainTbl[[#This Row],[SaltName1]]&lt;&gt;"",MainTbl[[#This Row],[salt_1_conc]]&gt;0),TEXT(MainTbl[[#This Row],[salt_1_conc]],"0.###")&amp;" M "&amp;MainTbl[[#This Row],[SaltName1]],"")</f>
        <v>1. M LiPF6</v>
      </c>
      <c r="BD82" t="str">
        <f>IF(AND(MainTbl[[#This Row],[SaltName2]]&lt;&gt;"",MainTbl[[#This Row],[salt_2_conc]]&gt;0),TEXT(MainTbl[[#This Row],[salt_2_conc]],"0.###")&amp;" M "&amp;MainTbl[[#This Row],[SaltName2]],"")</f>
        <v/>
      </c>
      <c r="BE8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82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31.5%</v>
      </c>
      <c r="BG82" t="str">
        <f>IF(MainTbl[[#This Row],[SolvCount]]=1,MainTbl[[#This Row],[SolvName2]],IF(MainTbl[[#This Row],[solv_2_ratio]]&gt;0,MainTbl[[#This Row],[SolvName2]]&amp;" "&amp;TEXT(MainTbl[[#This Row],[solv_2_ratio]]*100,"0.##")&amp;"%",""))</f>
        <v>EMC (C4H8O3) 29.61%</v>
      </c>
      <c r="BH82" t="str">
        <f>IF(MainTbl[[#This Row],[SolvCount]]=1,MainTbl[[#This Row],[SolvName3]],IF(MainTbl[[#This Row],[solv_3_ratio]]&gt;0,MainTbl[[#This Row],[SolvName3]]&amp;" "&amp;TEXT(MainTbl[[#This Row],[solv_3_ratio]]*100,"0.##")&amp;"%",""))</f>
        <v>DMC (C3H6O3) 38.89%</v>
      </c>
      <c r="BI8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31.5% + EMC (C4H8O3) 29.61% + DMC (C3H6O3) 38.89%</v>
      </c>
      <c r="BJ82" t="str">
        <f>TRIM(_xlfn.CONCAT(MainTbl[[#This Row],[Salt_text]]," ",MainTbl[[#This Row],[Solvent_text]]))</f>
        <v>1. M LiPF6 Ethylene carbonate 31.5% + EMC (C4H8O3) 29.61% + DMC (C3H6O3) 38.89%</v>
      </c>
    </row>
    <row r="83" spans="1:62" x14ac:dyDescent="0.25">
      <c r="A83" t="s">
        <v>27</v>
      </c>
      <c r="D83" t="s">
        <v>22</v>
      </c>
      <c r="G83">
        <v>1</v>
      </c>
      <c r="H83">
        <v>0</v>
      </c>
      <c r="I83">
        <v>0</v>
      </c>
      <c r="J83">
        <v>1.2</v>
      </c>
      <c r="K83">
        <v>0</v>
      </c>
      <c r="L83">
        <v>0.09</v>
      </c>
      <c r="M83">
        <f t="shared" si="2"/>
        <v>9</v>
      </c>
      <c r="N83">
        <f t="shared" si="3"/>
        <v>4.0958607678906384E-2</v>
      </c>
      <c r="O83">
        <f>IFERROR(MainTbl[[#This Row],[solv_1_ratio]]*VLOOKUP(MainTbl[[#This Row],[solvent_1_smiles]],SolvTbl[],13,FALSE),0)</f>
        <v>11.878594107329203</v>
      </c>
      <c r="P83">
        <f>IFERROR(MainTbl[[#This Row],[solv_2_ratio]]*VLOOKUP(MainTbl[[#This Row],[solvent_2_smiles]],SolvTbl[],13,FALSE),0)</f>
        <v>0</v>
      </c>
      <c r="Q83">
        <f>IFERROR(MainTbl[[#This Row],[solv_3_ratio]]*VLOOKUP(MainTbl[[#This Row],[solvent_3_smiles]],SolvTbl[],13,FALSE),0)</f>
        <v>0</v>
      </c>
      <c r="R83">
        <f>IFERROR(MainTbl[[#This Row],[salt_1_conc]],0)</f>
        <v>1.2</v>
      </c>
      <c r="S83">
        <f>IFERROR(MainTbl[[#This Row],[salt_2_conc]],0)</f>
        <v>0</v>
      </c>
      <c r="T8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35.635782321987605</v>
      </c>
      <c r="U8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83">
        <f>MainTbl[[#This Row],[O_from_solvents]]+MainTbl[[#This Row],[O_from_salts]]</f>
        <v>40.435782321987602</v>
      </c>
      <c r="W8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35.635782321987605</v>
      </c>
      <c r="X8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3">
        <f>MainTbl[[#This Row],[C_from_solvents]]+MainTbl[[#This Row],[C_from_salts]]</f>
        <v>35.635782321987605</v>
      </c>
      <c r="Z8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8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83">
        <f>MainTbl[[#This Row],[F_from_solvents]]+MainTbl[[#This Row],[F_from_salts]]</f>
        <v>2.4</v>
      </c>
      <c r="AC8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71.271564643975211</v>
      </c>
      <c r="AD8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3">
        <f>MainTbl[[#This Row],[H_from_solvents]]+MainTbl[[#This Row],[H_from_salts]]</f>
        <v>71.271564643975211</v>
      </c>
      <c r="AF8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83">
        <f>MainTbl[[#This Row],[Li_from_solvents]]+MainTbl[[#This Row],[Li_from_salts]]</f>
        <v>1.2</v>
      </c>
      <c r="AI8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154.54312928795042</v>
      </c>
      <c r="AJ83" s="2">
        <f>IFERROR(MainTbl[[#This Row],[O_total]]/MainTbl[[#This Row],[TotalAtoms_all]],0)</f>
        <v>0.26164723406529561</v>
      </c>
      <c r="AK83" s="2">
        <f>IFERROR(MainTbl[[#This Row],[O_from_solvents]]/MainTbl[[#This Row],[TotalAtoms_all]],0)</f>
        <v>0.23058794322450732</v>
      </c>
      <c r="AL83" s="2">
        <f>IFERROR(MainTbl[[#This Row],[O_from_salts]]/MainTbl[[#This Row],[TotalAtoms_all]],0)</f>
        <v>3.1059290840788296E-2</v>
      </c>
      <c r="AM83" s="2">
        <f>IFERROR(MainTbl[[#This Row],[C_total]]/MainTbl[[#This Row],[TotalAtoms_all]],0)</f>
        <v>0.23058794322450732</v>
      </c>
      <c r="AN83" s="2">
        <f>IFERROR(MainTbl[[#This Row],[C_from_solvents]]/MainTbl[[#This Row],[TotalAtoms_all]],0)</f>
        <v>0.23058794322450732</v>
      </c>
      <c r="AO83" s="2">
        <f>IFERROR(MainTbl[[#This Row],[C_from_salts]]/MainTbl[[#This Row],[TotalAtoms_all]],0)</f>
        <v>0</v>
      </c>
      <c r="AP83" s="2">
        <f>IFERROR(MainTbl[[#This Row],[F_total]]/MainTbl[[#This Row],[TotalAtoms_all]],0)</f>
        <v>1.5529645420394148E-2</v>
      </c>
      <c r="AQ83" s="2">
        <f>IFERROR(MainTbl[[#This Row],[F_from_solvents]]/MainTbl[[#This Row],[TotalAtoms_all]],0)</f>
        <v>0</v>
      </c>
      <c r="AR83" s="2">
        <f>IFERROR(MainTbl[[#This Row],[F_from_salts]]/MainTbl[[#This Row],[TotalAtoms_all]],0)</f>
        <v>1.5529645420394148E-2</v>
      </c>
      <c r="AS83" s="2">
        <f>IFERROR(MainTbl[[#This Row],[F_total]]/MainTbl[[#This Row],[O_total]],0)</f>
        <v>5.9353371251456205E-2</v>
      </c>
      <c r="AT83" s="2">
        <f>IFERROR(MainTbl[[#This Row],[F_total]]/MainTbl[[#This Row],[C_total]],0)</f>
        <v>6.7348037383177572E-2</v>
      </c>
      <c r="AU83" s="2">
        <f>IFERROR(MainTbl[[#This Row],[O_total]]/MainTbl[[#This Row],[C_total]],0)</f>
        <v>1.134696074766355</v>
      </c>
      <c r="AV83" s="2">
        <f>IFERROR((MainTbl[[#This Row],[TotalAtoms_all]]-(MainTbl[[#This Row],[C_total]]+MainTbl[[#This Row],[H_total]]+MainTbl[[#This Row],[Li_total]]))/MainTbl[[#This Row],[C_total]],0)</f>
        <v>1.303066168224299</v>
      </c>
      <c r="AW83" t="str">
        <f>IFERROR(VLOOKUP(MainTbl[[#This Row],[salt_1_smiles]],SaltTbl[],MATCH("Salt",SaltTbl[#Headers],0),FALSE),"")</f>
        <v>LiFSI</v>
      </c>
      <c r="AX83" t="str">
        <f>IFERROR(VLOOKUP(MainTbl[[#This Row],[salt_2_smiles]],SaltTbl[],MATCH("Salt",SaltTbl[#Headers],0),FALSE),"")</f>
        <v/>
      </c>
      <c r="AY83" t="str">
        <f>IFERROR(VLOOKUP(MainTbl[[#This Row],[solvent_1_smiles]],SolvTbl[],MATCH("Solvent",SolvTbl[#Headers],0),FALSE),"")</f>
        <v>DMC (C3H6O3)</v>
      </c>
      <c r="AZ83" t="str">
        <f>IFERROR(VLOOKUP(MainTbl[[#This Row],[solvent_2_smiles]],SolvTbl[],MATCH("Solvent",SolvTbl[#Headers],0),FALSE),"")</f>
        <v/>
      </c>
      <c r="BA83" t="str">
        <f>IFERROR(VLOOKUP(MainTbl[[#This Row],[solvent_3_smiles]],SolvTbl[],MATCH("Solvent",SolvTbl[#Headers],0),FALSE),"")</f>
        <v/>
      </c>
      <c r="BB83">
        <f>--(MainTbl[[#This Row],[solv_1_ratio]]&gt;0)+--(MainTbl[[#This Row],[solv_2_ratio]]&gt;0)+--(MainTbl[[#This Row],[solv_3_ratio]]&gt;0)</f>
        <v>1</v>
      </c>
      <c r="BC83" t="str">
        <f>IF(AND(MainTbl[[#This Row],[SaltName1]]&lt;&gt;"",MainTbl[[#This Row],[salt_1_conc]]&gt;0),TEXT(MainTbl[[#This Row],[salt_1_conc]],"0.###")&amp;" M "&amp;MainTbl[[#This Row],[SaltName1]],"")</f>
        <v>1.2 M LiFSI</v>
      </c>
      <c r="BD83" t="str">
        <f>IF(AND(MainTbl[[#This Row],[SaltName2]]&lt;&gt;"",MainTbl[[#This Row],[salt_2_conc]]&gt;0),TEXT(MainTbl[[#This Row],[salt_2_conc]],"0.###")&amp;" M "&amp;MainTbl[[#This Row],[SaltName2]],"")</f>
        <v/>
      </c>
      <c r="BE8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83" t="str">
        <f>IF(MainTbl[[#This Row],[SolvCount]]=1,MainTbl[[#This Row],[SolvName1]],IF(MainTbl[[#This Row],[solv_1_ratio]]&gt;0,MainTbl[[#This Row],[SolvName1]]&amp;" "&amp;TEXT(MainTbl[[#This Row],[solv_1_ratio]]*100,"0.##")&amp;"%",""))</f>
        <v>DMC (C3H6O3)</v>
      </c>
      <c r="BG83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8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DMC (C3H6O3)</v>
      </c>
      <c r="BJ83" t="str">
        <f>TRIM(_xlfn.CONCAT(MainTbl[[#This Row],[Salt_text]]," ",MainTbl[[#This Row],[Solvent_text]]))</f>
        <v>1.2 M LiFSI DMC (C3H6O3)</v>
      </c>
    </row>
    <row r="84" spans="1:62" x14ac:dyDescent="0.25">
      <c r="A84" t="s">
        <v>27</v>
      </c>
      <c r="B84" t="s">
        <v>31</v>
      </c>
      <c r="D84" t="s">
        <v>22</v>
      </c>
      <c r="G84">
        <v>0.5</v>
      </c>
      <c r="H84">
        <v>0.5</v>
      </c>
      <c r="I84">
        <v>0</v>
      </c>
      <c r="J84">
        <v>2.5</v>
      </c>
      <c r="K84">
        <v>0</v>
      </c>
      <c r="L84">
        <v>0.995</v>
      </c>
      <c r="M84">
        <f t="shared" si="2"/>
        <v>99.5</v>
      </c>
      <c r="N84">
        <f t="shared" si="3"/>
        <v>2.3010299956639808</v>
      </c>
      <c r="O84">
        <f>IFERROR(MainTbl[[#This Row],[solv_1_ratio]]*VLOOKUP(MainTbl[[#This Row],[solvent_1_smiles]],SolvTbl[],13,FALSE),0)</f>
        <v>5.9392970536646015</v>
      </c>
      <c r="P84">
        <f>IFERROR(MainTbl[[#This Row],[solv_2_ratio]]*VLOOKUP(MainTbl[[#This Row],[solvent_2_smiles]],SolvTbl[],13,FALSE),0)</f>
        <v>3.8446328924820947</v>
      </c>
      <c r="Q84">
        <f>IFERROR(MainTbl[[#This Row],[solv_3_ratio]]*VLOOKUP(MainTbl[[#This Row],[solvent_3_smiles]],SolvTbl[],13,FALSE),0)</f>
        <v>0</v>
      </c>
      <c r="R84">
        <f>IFERROR(MainTbl[[#This Row],[salt_1_conc]],0)</f>
        <v>2.5</v>
      </c>
      <c r="S84">
        <f>IFERROR(MainTbl[[#This Row],[salt_2_conc]],0)</f>
        <v>0</v>
      </c>
      <c r="T8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21.662524053475899</v>
      </c>
      <c r="U8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10</v>
      </c>
      <c r="V84">
        <f>MainTbl[[#This Row],[O_from_solvents]]+MainTbl[[#This Row],[O_from_salts]]</f>
        <v>31.662524053475899</v>
      </c>
      <c r="W8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33.19642273092218</v>
      </c>
      <c r="X8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4">
        <f>MainTbl[[#This Row],[C_from_solvents]]+MainTbl[[#This Row],[C_from_salts]]</f>
        <v>33.19642273092218</v>
      </c>
      <c r="Z8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23.067797354892569</v>
      </c>
      <c r="AA8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5</v>
      </c>
      <c r="AB84">
        <f>MainTbl[[#This Row],[F_from_solvents]]+MainTbl[[#This Row],[F_from_salts]]</f>
        <v>28.067797354892569</v>
      </c>
      <c r="AC8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51.014313891915982</v>
      </c>
      <c r="AD8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4">
        <f>MainTbl[[#This Row],[H_from_solvents]]+MainTbl[[#This Row],[H_from_salts]]</f>
        <v>51.014313891915982</v>
      </c>
      <c r="AF8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2.5</v>
      </c>
      <c r="AH84">
        <f>MainTbl[[#This Row],[Li_from_solvents]]+MainTbl[[#This Row],[Li_from_salts]]</f>
        <v>2.5</v>
      </c>
      <c r="AI8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153.94105803120664</v>
      </c>
      <c r="AJ84" s="2">
        <f>IFERROR(MainTbl[[#This Row],[O_total]]/MainTbl[[#This Row],[TotalAtoms_all]],0)</f>
        <v>0.20567952733608816</v>
      </c>
      <c r="AK84" s="2">
        <f>IFERROR(MainTbl[[#This Row],[O_from_solvents]]/MainTbl[[#This Row],[TotalAtoms_all]],0)</f>
        <v>0.14071959963458555</v>
      </c>
      <c r="AL84" s="2">
        <f>IFERROR(MainTbl[[#This Row],[O_from_salts]]/MainTbl[[#This Row],[TotalAtoms_all]],0)</f>
        <v>6.4959927701502607E-2</v>
      </c>
      <c r="AM84" s="2">
        <f>IFERROR(MainTbl[[#This Row],[C_total]]/MainTbl[[#This Row],[TotalAtoms_all]],0)</f>
        <v>0.21564372205492224</v>
      </c>
      <c r="AN84" s="2">
        <f>IFERROR(MainTbl[[#This Row],[C_from_solvents]]/MainTbl[[#This Row],[TotalAtoms_all]],0)</f>
        <v>0.21564372205492224</v>
      </c>
      <c r="AO84" s="2">
        <f>IFERROR(MainTbl[[#This Row],[C_from_salts]]/MainTbl[[#This Row],[TotalAtoms_all]],0)</f>
        <v>0</v>
      </c>
      <c r="AP84" s="2">
        <f>IFERROR(MainTbl[[#This Row],[F_total]]/MainTbl[[#This Row],[TotalAtoms_all]],0)</f>
        <v>0.18232820869142474</v>
      </c>
      <c r="AQ84" s="2">
        <f>IFERROR(MainTbl[[#This Row],[F_from_solvents]]/MainTbl[[#This Row],[TotalAtoms_all]],0)</f>
        <v>0.14984824484067344</v>
      </c>
      <c r="AR84" s="2">
        <f>IFERROR(MainTbl[[#This Row],[F_from_salts]]/MainTbl[[#This Row],[TotalAtoms_all]],0)</f>
        <v>3.2479963850751303E-2</v>
      </c>
      <c r="AS84" s="2">
        <f>IFERROR(MainTbl[[#This Row],[F_total]]/MainTbl[[#This Row],[O_total]],0)</f>
        <v>0.88646746252724273</v>
      </c>
      <c r="AT84" s="2">
        <f>IFERROR(MainTbl[[#This Row],[F_total]]/MainTbl[[#This Row],[C_total]],0)</f>
        <v>0.84550668553656116</v>
      </c>
      <c r="AU84" s="2">
        <f>IFERROR(MainTbl[[#This Row],[O_total]]/MainTbl[[#This Row],[C_total]],0)</f>
        <v>0.95379325387318115</v>
      </c>
      <c r="AV84" s="2">
        <f>IFERROR((MainTbl[[#This Row],[TotalAtoms_all]]-(MainTbl[[#This Row],[C_total]]+MainTbl[[#This Row],[H_total]]+MainTbl[[#This Row],[Li_total]]))/MainTbl[[#This Row],[C_total]],0)</f>
        <v>2.0252278973946192</v>
      </c>
      <c r="AW84" t="str">
        <f>IFERROR(VLOOKUP(MainTbl[[#This Row],[salt_1_smiles]],SaltTbl[],MATCH("Salt",SaltTbl[#Headers],0),FALSE),"")</f>
        <v>LiFSI</v>
      </c>
      <c r="AX84" t="str">
        <f>IFERROR(VLOOKUP(MainTbl[[#This Row],[salt_2_smiles]],SaltTbl[],MATCH("Salt",SaltTbl[#Headers],0),FALSE),"")</f>
        <v/>
      </c>
      <c r="AY84" t="str">
        <f>IFERROR(VLOOKUP(MainTbl[[#This Row],[solvent_1_smiles]],SolvTbl[],MATCH("Solvent",SolvTbl[#Headers],0),FALSE),"")</f>
        <v>DMC (C3H6O3)</v>
      </c>
      <c r="AZ84" t="str">
        <f>IFERROR(VLOOKUP(MainTbl[[#This Row],[solvent_2_smiles]],SolvTbl[],MATCH("Solvent",SolvTbl[#Headers],0),FALSE),"")</f>
        <v>Flurothyl</v>
      </c>
      <c r="BA84" t="str">
        <f>IFERROR(VLOOKUP(MainTbl[[#This Row],[solvent_3_smiles]],SolvTbl[],MATCH("Solvent",SolvTbl[#Headers],0),FALSE),"")</f>
        <v/>
      </c>
      <c r="BB84">
        <f>--(MainTbl[[#This Row],[solv_1_ratio]]&gt;0)+--(MainTbl[[#This Row],[solv_2_ratio]]&gt;0)+--(MainTbl[[#This Row],[solv_3_ratio]]&gt;0)</f>
        <v>2</v>
      </c>
      <c r="BC84" t="str">
        <f>IF(AND(MainTbl[[#This Row],[SaltName1]]&lt;&gt;"",MainTbl[[#This Row],[salt_1_conc]]&gt;0),TEXT(MainTbl[[#This Row],[salt_1_conc]],"0.###")&amp;" M "&amp;MainTbl[[#This Row],[SaltName1]],"")</f>
        <v>2.5 M LiFSI</v>
      </c>
      <c r="BD84" t="str">
        <f>IF(AND(MainTbl[[#This Row],[SaltName2]]&lt;&gt;"",MainTbl[[#This Row],[salt_2_conc]]&gt;0),TEXT(MainTbl[[#This Row],[salt_2_conc]],"0.###")&amp;" M "&amp;MainTbl[[#This Row],[SaltName2]],"")</f>
        <v/>
      </c>
      <c r="BE8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2.5 M LiFSI</v>
      </c>
      <c r="BF84" t="str">
        <f>IF(MainTbl[[#This Row],[SolvCount]]=1,MainTbl[[#This Row],[SolvName1]],IF(MainTbl[[#This Row],[solv_1_ratio]]&gt;0,MainTbl[[#This Row],[SolvName1]]&amp;" "&amp;TEXT(MainTbl[[#This Row],[solv_1_ratio]]*100,"0.##")&amp;"%",""))</f>
        <v>DMC (C3H6O3) 50.%</v>
      </c>
      <c r="BG84" t="str">
        <f>IF(MainTbl[[#This Row],[SolvCount]]=1,MainTbl[[#This Row],[SolvName2]],IF(MainTbl[[#This Row],[solv_2_ratio]]&gt;0,MainTbl[[#This Row],[SolvName2]]&amp;" "&amp;TEXT(MainTbl[[#This Row],[solv_2_ratio]]*100,"0.##")&amp;"%",""))</f>
        <v>Flurothyl 50.%</v>
      </c>
      <c r="BH8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DMC (C3H6O3) 50.% + Flurothyl 50.%</v>
      </c>
      <c r="BJ84" t="str">
        <f>TRIM(_xlfn.CONCAT(MainTbl[[#This Row],[Salt_text]]," ",MainTbl[[#This Row],[Solvent_text]]))</f>
        <v>2.5 M LiFSI DMC (C3H6O3) 50.% + Flurothyl 50.%</v>
      </c>
    </row>
    <row r="85" spans="1:62" x14ac:dyDescent="0.25">
      <c r="A85" t="s">
        <v>27</v>
      </c>
      <c r="B85" t="s">
        <v>31</v>
      </c>
      <c r="D85" t="s">
        <v>22</v>
      </c>
      <c r="G85">
        <v>0.33333333300000001</v>
      </c>
      <c r="H85">
        <v>0.66666666699999999</v>
      </c>
      <c r="I85">
        <v>0</v>
      </c>
      <c r="J85">
        <v>1.2</v>
      </c>
      <c r="K85">
        <v>0</v>
      </c>
      <c r="L85">
        <v>0.99299999999999999</v>
      </c>
      <c r="M85">
        <f t="shared" si="2"/>
        <v>99.3</v>
      </c>
      <c r="N85">
        <f t="shared" si="3"/>
        <v>2.1549019599857426</v>
      </c>
      <c r="O85">
        <f>IFERROR(MainTbl[[#This Row],[solv_1_ratio]]*VLOOKUP(MainTbl[[#This Row],[solvent_1_smiles]],SolvTbl[],13,FALSE),0)</f>
        <v>3.9595313651502031</v>
      </c>
      <c r="P85">
        <f>IFERROR(MainTbl[[#This Row],[solv_2_ratio]]*VLOOKUP(MainTbl[[#This Row],[solvent_2_smiles]],SolvTbl[],13,FALSE),0)</f>
        <v>5.126177192539215</v>
      </c>
      <c r="Q85">
        <f>IFERROR(MainTbl[[#This Row],[solv_3_ratio]]*VLOOKUP(MainTbl[[#This Row],[solvent_3_smiles]],SolvTbl[],13,FALSE),0)</f>
        <v>0</v>
      </c>
      <c r="R85">
        <f>IFERROR(MainTbl[[#This Row],[salt_1_conc]],0)</f>
        <v>1.2</v>
      </c>
      <c r="S85">
        <f>IFERROR(MainTbl[[#This Row],[salt_2_conc]],0)</f>
        <v>0</v>
      </c>
      <c r="T8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17.004771287989826</v>
      </c>
      <c r="U8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85">
        <f>MainTbl[[#This Row],[O_from_solvents]]+MainTbl[[#This Row],[O_from_salts]]</f>
        <v>21.804771287989826</v>
      </c>
      <c r="W8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32.383302865607469</v>
      </c>
      <c r="X8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5">
        <f>MainTbl[[#This Row],[C_from_solvents]]+MainTbl[[#This Row],[C_from_salts]]</f>
        <v>32.383302865607469</v>
      </c>
      <c r="Z8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30.75706315523529</v>
      </c>
      <c r="AA8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85">
        <f>MainTbl[[#This Row],[F_from_solvents]]+MainTbl[[#This Row],[F_from_salts]]</f>
        <v>33.157063155235292</v>
      </c>
      <c r="AC8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44.261896961058078</v>
      </c>
      <c r="AD8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5">
        <f>MainTbl[[#This Row],[H_from_solvents]]+MainTbl[[#This Row],[H_from_salts]]</f>
        <v>44.261896961058078</v>
      </c>
      <c r="AF8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85">
        <f>MainTbl[[#This Row],[Li_from_solvents]]+MainTbl[[#This Row],[Li_from_salts]]</f>
        <v>1.2</v>
      </c>
      <c r="AI8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136.40703426989066</v>
      </c>
      <c r="AJ85" s="2">
        <f>IFERROR(MainTbl[[#This Row],[O_total]]/MainTbl[[#This Row],[TotalAtoms_all]],0)</f>
        <v>0.15985078339030223</v>
      </c>
      <c r="AK85" s="2">
        <f>IFERROR(MainTbl[[#This Row],[O_from_solvents]]/MainTbl[[#This Row],[TotalAtoms_all]],0)</f>
        <v>0.1246619822724444</v>
      </c>
      <c r="AL85" s="2">
        <f>IFERROR(MainTbl[[#This Row],[O_from_salts]]/MainTbl[[#This Row],[TotalAtoms_all]],0)</f>
        <v>3.5188801117857833E-2</v>
      </c>
      <c r="AM85" s="2">
        <f>IFERROR(MainTbl[[#This Row],[C_total]]/MainTbl[[#This Row],[TotalAtoms_all]],0)</f>
        <v>0.23740200084942017</v>
      </c>
      <c r="AN85" s="2">
        <f>IFERROR(MainTbl[[#This Row],[C_from_solvents]]/MainTbl[[#This Row],[TotalAtoms_all]],0)</f>
        <v>0.23740200084942017</v>
      </c>
      <c r="AO85" s="2">
        <f>IFERROR(MainTbl[[#This Row],[C_from_salts]]/MainTbl[[#This Row],[TotalAtoms_all]],0)</f>
        <v>0</v>
      </c>
      <c r="AP85" s="2">
        <f>IFERROR(MainTbl[[#This Row],[F_total]]/MainTbl[[#This Row],[TotalAtoms_all]],0)</f>
        <v>0.24307443771288051</v>
      </c>
      <c r="AQ85" s="2">
        <f>IFERROR(MainTbl[[#This Row],[F_from_solvents]]/MainTbl[[#This Row],[TotalAtoms_all]],0)</f>
        <v>0.22548003715395157</v>
      </c>
      <c r="AR85" s="2">
        <f>IFERROR(MainTbl[[#This Row],[F_from_salts]]/MainTbl[[#This Row],[TotalAtoms_all]],0)</f>
        <v>1.7594400558928917E-2</v>
      </c>
      <c r="AS85" s="2">
        <f>IFERROR(MainTbl[[#This Row],[F_total]]/MainTbl[[#This Row],[O_total]],0)</f>
        <v>1.5206333841941448</v>
      </c>
      <c r="AT85" s="2">
        <f>IFERROR(MainTbl[[#This Row],[F_total]]/MainTbl[[#This Row],[C_total]],0)</f>
        <v>1.0238938039408447</v>
      </c>
      <c r="AU85" s="2">
        <f>IFERROR(MainTbl[[#This Row],[O_total]]/MainTbl[[#This Row],[C_total]],0)</f>
        <v>0.67333376643144938</v>
      </c>
      <c r="AV85" s="2">
        <f>IFERROR((MainTbl[[#This Row],[TotalAtoms_all]]-(MainTbl[[#This Row],[C_total]]+MainTbl[[#This Row],[H_total]]+MainTbl[[#This Row],[Li_total]]))/MainTbl[[#This Row],[C_total]],0)</f>
        <v>1.808395971413417</v>
      </c>
      <c r="AW85" t="str">
        <f>IFERROR(VLOOKUP(MainTbl[[#This Row],[salt_1_smiles]],SaltTbl[],MATCH("Salt",SaltTbl[#Headers],0),FALSE),"")</f>
        <v>LiFSI</v>
      </c>
      <c r="AX85" t="str">
        <f>IFERROR(VLOOKUP(MainTbl[[#This Row],[salt_2_smiles]],SaltTbl[],MATCH("Salt",SaltTbl[#Headers],0),FALSE),"")</f>
        <v/>
      </c>
      <c r="AY85" t="str">
        <f>IFERROR(VLOOKUP(MainTbl[[#This Row],[solvent_1_smiles]],SolvTbl[],MATCH("Solvent",SolvTbl[#Headers],0),FALSE),"")</f>
        <v>DMC (C3H6O3)</v>
      </c>
      <c r="AZ85" t="str">
        <f>IFERROR(VLOOKUP(MainTbl[[#This Row],[solvent_2_smiles]],SolvTbl[],MATCH("Solvent",SolvTbl[#Headers],0),FALSE),"")</f>
        <v>Flurothyl</v>
      </c>
      <c r="BA85" t="str">
        <f>IFERROR(VLOOKUP(MainTbl[[#This Row],[solvent_3_smiles]],SolvTbl[],MATCH("Solvent",SolvTbl[#Headers],0),FALSE),"")</f>
        <v/>
      </c>
      <c r="BB85">
        <f>--(MainTbl[[#This Row],[solv_1_ratio]]&gt;0)+--(MainTbl[[#This Row],[solv_2_ratio]]&gt;0)+--(MainTbl[[#This Row],[solv_3_ratio]]&gt;0)</f>
        <v>2</v>
      </c>
      <c r="BC85" t="str">
        <f>IF(AND(MainTbl[[#This Row],[SaltName1]]&lt;&gt;"",MainTbl[[#This Row],[salt_1_conc]]&gt;0),TEXT(MainTbl[[#This Row],[salt_1_conc]],"0.###")&amp;" M "&amp;MainTbl[[#This Row],[SaltName1]],"")</f>
        <v>1.2 M LiFSI</v>
      </c>
      <c r="BD85" t="str">
        <f>IF(AND(MainTbl[[#This Row],[SaltName2]]&lt;&gt;"",MainTbl[[#This Row],[salt_2_conc]]&gt;0),TEXT(MainTbl[[#This Row],[salt_2_conc]],"0.###")&amp;" M "&amp;MainTbl[[#This Row],[SaltName2]],"")</f>
        <v/>
      </c>
      <c r="BE8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85" t="str">
        <f>IF(MainTbl[[#This Row],[SolvCount]]=1,MainTbl[[#This Row],[SolvName1]],IF(MainTbl[[#This Row],[solv_1_ratio]]&gt;0,MainTbl[[#This Row],[SolvName1]]&amp;" "&amp;TEXT(MainTbl[[#This Row],[solv_1_ratio]]*100,"0.##")&amp;"%",""))</f>
        <v>DMC (C3H6O3) 33.33%</v>
      </c>
      <c r="BG85" t="str">
        <f>IF(MainTbl[[#This Row],[SolvCount]]=1,MainTbl[[#This Row],[SolvName2]],IF(MainTbl[[#This Row],[solv_2_ratio]]&gt;0,MainTbl[[#This Row],[SolvName2]]&amp;" "&amp;TEXT(MainTbl[[#This Row],[solv_2_ratio]]*100,"0.##")&amp;"%",""))</f>
        <v>Flurothyl 66.67%</v>
      </c>
      <c r="BH8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DMC (C3H6O3) 33.33% + Flurothyl 66.67%</v>
      </c>
      <c r="BJ85" t="str">
        <f>TRIM(_xlfn.CONCAT(MainTbl[[#This Row],[Salt_text]]," ",MainTbl[[#This Row],[Solvent_text]]))</f>
        <v>1.2 M LiFSI DMC (C3H6O3) 33.33% + Flurothyl 66.67%</v>
      </c>
    </row>
    <row r="86" spans="1:62" x14ac:dyDescent="0.25">
      <c r="A86" t="s">
        <v>36</v>
      </c>
      <c r="D86" t="s">
        <v>22</v>
      </c>
      <c r="G86">
        <v>1</v>
      </c>
      <c r="H86">
        <v>0</v>
      </c>
      <c r="I86">
        <v>0</v>
      </c>
      <c r="J86">
        <v>1</v>
      </c>
      <c r="K86">
        <v>0</v>
      </c>
      <c r="L86">
        <v>0.99399999999999999</v>
      </c>
      <c r="M86">
        <f t="shared" si="2"/>
        <v>99.4</v>
      </c>
      <c r="N86">
        <f t="shared" si="3"/>
        <v>2.2218487496163561</v>
      </c>
      <c r="O86">
        <f>IFERROR(MainTbl[[#This Row],[solv_1_ratio]]*VLOOKUP(MainTbl[[#This Row],[solvent_1_smiles]],SolvTbl[],13,FALSE),0)</f>
        <v>6.3637319869569797</v>
      </c>
      <c r="P86">
        <f>IFERROR(MainTbl[[#This Row],[solv_2_ratio]]*VLOOKUP(MainTbl[[#This Row],[solvent_2_smiles]],SolvTbl[],13,FALSE),0)</f>
        <v>0</v>
      </c>
      <c r="Q86">
        <f>IFERROR(MainTbl[[#This Row],[solv_3_ratio]]*VLOOKUP(MainTbl[[#This Row],[solvent_3_smiles]],SolvTbl[],13,FALSE),0)</f>
        <v>0</v>
      </c>
      <c r="R86">
        <f>IFERROR(MainTbl[[#This Row],[salt_1_conc]],0)</f>
        <v>1</v>
      </c>
      <c r="S86">
        <f>IFERROR(MainTbl[[#This Row],[salt_2_conc]],0)</f>
        <v>0</v>
      </c>
      <c r="T8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12.727463973913959</v>
      </c>
      <c r="U8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86">
        <f>MainTbl[[#This Row],[O_from_solvents]]+MainTbl[[#This Row],[O_from_salts]]</f>
        <v>16.727463973913959</v>
      </c>
      <c r="W8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38.182391921741882</v>
      </c>
      <c r="X8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6">
        <f>MainTbl[[#This Row],[C_from_solvents]]+MainTbl[[#This Row],[C_from_salts]]</f>
        <v>38.182391921741882</v>
      </c>
      <c r="Z8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25.454927947827919</v>
      </c>
      <c r="AA8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86">
        <f>MainTbl[[#This Row],[F_from_solvents]]+MainTbl[[#This Row],[F_from_salts]]</f>
        <v>27.454927947827919</v>
      </c>
      <c r="AC8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63.637319869569794</v>
      </c>
      <c r="AD8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6">
        <f>MainTbl[[#This Row],[H_from_solvents]]+MainTbl[[#This Row],[H_from_salts]]</f>
        <v>63.637319869569794</v>
      </c>
      <c r="AF8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86">
        <f>MainTbl[[#This Row],[Li_from_solvents]]+MainTbl[[#This Row],[Li_from_salts]]</f>
        <v>1</v>
      </c>
      <c r="AI8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150.00210371305354</v>
      </c>
      <c r="AJ86" s="2">
        <f>IFERROR(MainTbl[[#This Row],[O_total]]/MainTbl[[#This Row],[TotalAtoms_all]],0)</f>
        <v>0.11151486252428001</v>
      </c>
      <c r="AK86" s="2">
        <f>IFERROR(MainTbl[[#This Row],[O_from_solvents]]/MainTbl[[#This Row],[TotalAtoms_all]],0)</f>
        <v>8.4848569845799998E-2</v>
      </c>
      <c r="AL86" s="2">
        <f>IFERROR(MainTbl[[#This Row],[O_from_salts]]/MainTbl[[#This Row],[TotalAtoms_all]],0)</f>
        <v>2.6666292678480016E-2</v>
      </c>
      <c r="AM86" s="2">
        <f>IFERROR(MainTbl[[#This Row],[C_total]]/MainTbl[[#This Row],[TotalAtoms_all]],0)</f>
        <v>0.25454570953740002</v>
      </c>
      <c r="AN86" s="2">
        <f>IFERROR(MainTbl[[#This Row],[C_from_solvents]]/MainTbl[[#This Row],[TotalAtoms_all]],0)</f>
        <v>0.25454570953740002</v>
      </c>
      <c r="AO86" s="2">
        <f>IFERROR(MainTbl[[#This Row],[C_from_salts]]/MainTbl[[#This Row],[TotalAtoms_all]],0)</f>
        <v>0</v>
      </c>
      <c r="AP86" s="2">
        <f>IFERROR(MainTbl[[#This Row],[F_total]]/MainTbl[[#This Row],[TotalAtoms_all]],0)</f>
        <v>0.18303028603084001</v>
      </c>
      <c r="AQ86" s="2">
        <f>IFERROR(MainTbl[[#This Row],[F_from_solvents]]/MainTbl[[#This Row],[TotalAtoms_all]],0)</f>
        <v>0.1696971396916</v>
      </c>
      <c r="AR86" s="2">
        <f>IFERROR(MainTbl[[#This Row],[F_from_salts]]/MainTbl[[#This Row],[TotalAtoms_all]],0)</f>
        <v>1.3333146339240008E-2</v>
      </c>
      <c r="AS86" s="2">
        <f>IFERROR(MainTbl[[#This Row],[F_total]]/MainTbl[[#This Row],[O_total]],0)</f>
        <v>1.6413084488266219</v>
      </c>
      <c r="AT86" s="2">
        <f>IFERROR(MainTbl[[#This Row],[F_total]]/MainTbl[[#This Row],[C_total]],0)</f>
        <v>0.71904683195592278</v>
      </c>
      <c r="AU86" s="2">
        <f>IFERROR(MainTbl[[#This Row],[O_total]]/MainTbl[[#This Row],[C_total]],0)</f>
        <v>0.43809366391184568</v>
      </c>
      <c r="AV86" s="2">
        <f>IFERROR((MainTbl[[#This Row],[TotalAtoms_all]]-(MainTbl[[#This Row],[C_total]]+MainTbl[[#This Row],[H_total]]+MainTbl[[#This Row],[Li_total]]))/MainTbl[[#This Row],[C_total]],0)</f>
        <v>1.2357107438016526</v>
      </c>
      <c r="AW86" t="str">
        <f>IFERROR(VLOOKUP(MainTbl[[#This Row],[salt_1_smiles]],SaltTbl[],MATCH("Salt",SaltTbl[#Headers],0),FALSE),"")</f>
        <v>LiFSI</v>
      </c>
      <c r="AX86" t="str">
        <f>IFERROR(VLOOKUP(MainTbl[[#This Row],[salt_2_smiles]],SaltTbl[],MATCH("Salt",SaltTbl[#Headers],0),FALSE),"")</f>
        <v/>
      </c>
      <c r="AY86" t="str">
        <f>IFERROR(VLOOKUP(MainTbl[[#This Row],[solvent_1_smiles]],SolvTbl[],MATCH("Solvent",SolvTbl[#Headers],0),FALSE),"")</f>
        <v>FDMB (C6H10F4O2)</v>
      </c>
      <c r="AZ86" t="str">
        <f>IFERROR(VLOOKUP(MainTbl[[#This Row],[solvent_2_smiles]],SolvTbl[],MATCH("Solvent",SolvTbl[#Headers],0),FALSE),"")</f>
        <v/>
      </c>
      <c r="BA86" t="str">
        <f>IFERROR(VLOOKUP(MainTbl[[#This Row],[solvent_3_smiles]],SolvTbl[],MATCH("Solvent",SolvTbl[#Headers],0),FALSE),"")</f>
        <v/>
      </c>
      <c r="BB86">
        <f>--(MainTbl[[#This Row],[solv_1_ratio]]&gt;0)+--(MainTbl[[#This Row],[solv_2_ratio]]&gt;0)+--(MainTbl[[#This Row],[solv_3_ratio]]&gt;0)</f>
        <v>1</v>
      </c>
      <c r="BC86" t="str">
        <f>IF(AND(MainTbl[[#This Row],[SaltName1]]&lt;&gt;"",MainTbl[[#This Row],[salt_1_conc]]&gt;0),TEXT(MainTbl[[#This Row],[salt_1_conc]],"0.###")&amp;" M "&amp;MainTbl[[#This Row],[SaltName1]],"")</f>
        <v>1. M LiFSI</v>
      </c>
      <c r="BD86" t="str">
        <f>IF(AND(MainTbl[[#This Row],[SaltName2]]&lt;&gt;"",MainTbl[[#This Row],[salt_2_conc]]&gt;0),TEXT(MainTbl[[#This Row],[salt_2_conc]],"0.###")&amp;" M "&amp;MainTbl[[#This Row],[SaltName2]],"")</f>
        <v/>
      </c>
      <c r="BE8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86" t="str">
        <f>IF(MainTbl[[#This Row],[SolvCount]]=1,MainTbl[[#This Row],[SolvName1]],IF(MainTbl[[#This Row],[solv_1_ratio]]&gt;0,MainTbl[[#This Row],[SolvName1]]&amp;" "&amp;TEXT(MainTbl[[#This Row],[solv_1_ratio]]*100,"0.##")&amp;"%",""))</f>
        <v>FDMB (C6H10F4O2)</v>
      </c>
      <c r="BG86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8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FDMB (C6H10F4O2)</v>
      </c>
      <c r="BJ86" t="str">
        <f>TRIM(_xlfn.CONCAT(MainTbl[[#This Row],[Salt_text]]," ",MainTbl[[#This Row],[Solvent_text]]))</f>
        <v>1. M LiFSI FDMB (C6H10F4O2)</v>
      </c>
    </row>
    <row r="87" spans="1:62" x14ac:dyDescent="0.25">
      <c r="A87" t="s">
        <v>52</v>
      </c>
      <c r="D87" t="s">
        <v>22</v>
      </c>
      <c r="G87">
        <v>1</v>
      </c>
      <c r="H87">
        <v>0</v>
      </c>
      <c r="I87">
        <v>0</v>
      </c>
      <c r="J87">
        <v>1.2</v>
      </c>
      <c r="K87">
        <v>0</v>
      </c>
      <c r="L87">
        <v>0.99</v>
      </c>
      <c r="M87">
        <f t="shared" si="2"/>
        <v>99</v>
      </c>
      <c r="N87">
        <f t="shared" si="3"/>
        <v>1.9999999999999996</v>
      </c>
      <c r="O87">
        <f>IFERROR(MainTbl[[#This Row],[solv_1_ratio]]*VLOOKUP(MainTbl[[#This Row],[solvent_1_smiles]],SolvTbl[],13,FALSE),0)</f>
        <v>7.1793656703787709</v>
      </c>
      <c r="P87">
        <f>IFERROR(MainTbl[[#This Row],[solv_2_ratio]]*VLOOKUP(MainTbl[[#This Row],[solvent_2_smiles]],SolvTbl[],13,FALSE),0)</f>
        <v>0</v>
      </c>
      <c r="Q87">
        <f>IFERROR(MainTbl[[#This Row],[solv_3_ratio]]*VLOOKUP(MainTbl[[#This Row],[solvent_3_smiles]],SolvTbl[],13,FALSE),0)</f>
        <v>0</v>
      </c>
      <c r="R87">
        <f>IFERROR(MainTbl[[#This Row],[salt_1_conc]],0)</f>
        <v>1.2</v>
      </c>
      <c r="S87">
        <f>IFERROR(MainTbl[[#This Row],[salt_2_conc]],0)</f>
        <v>0</v>
      </c>
      <c r="T8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14.358731340757542</v>
      </c>
      <c r="U8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87">
        <f>MainTbl[[#This Row],[O_from_solvents]]+MainTbl[[#This Row],[O_from_salts]]</f>
        <v>19.158731340757541</v>
      </c>
      <c r="W8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43.076194022272624</v>
      </c>
      <c r="X8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7">
        <f>MainTbl[[#This Row],[C_from_solvents]]+MainTbl[[#This Row],[C_from_salts]]</f>
        <v>43.076194022272624</v>
      </c>
      <c r="Z8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8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87">
        <f>MainTbl[[#This Row],[F_from_solvents]]+MainTbl[[#This Row],[F_from_salts]]</f>
        <v>2.4</v>
      </c>
      <c r="AC8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100.51111938530279</v>
      </c>
      <c r="AD8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7">
        <f>MainTbl[[#This Row],[H_from_solvents]]+MainTbl[[#This Row],[H_from_salts]]</f>
        <v>100.51111938530279</v>
      </c>
      <c r="AF8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87">
        <f>MainTbl[[#This Row],[Li_from_solvents]]+MainTbl[[#This Row],[Li_from_salts]]</f>
        <v>1.2</v>
      </c>
      <c r="AI8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169.94604474833295</v>
      </c>
      <c r="AJ87" s="2">
        <f>IFERROR(MainTbl[[#This Row],[O_total]]/MainTbl[[#This Row],[TotalAtoms_all]],0)</f>
        <v>0.1127341996639523</v>
      </c>
      <c r="AK87" s="2">
        <f>IFERROR(MainTbl[[#This Row],[O_from_solvents]]/MainTbl[[#This Row],[TotalAtoms_all]],0)</f>
        <v>8.448994127530815E-2</v>
      </c>
      <c r="AL87" s="2">
        <f>IFERROR(MainTbl[[#This Row],[O_from_salts]]/MainTbl[[#This Row],[TotalAtoms_all]],0)</f>
        <v>2.8244258388644167E-2</v>
      </c>
      <c r="AM87" s="2">
        <f>IFERROR(MainTbl[[#This Row],[C_total]]/MainTbl[[#This Row],[TotalAtoms_all]],0)</f>
        <v>0.25346982382592442</v>
      </c>
      <c r="AN87" s="2">
        <f>IFERROR(MainTbl[[#This Row],[C_from_solvents]]/MainTbl[[#This Row],[TotalAtoms_all]],0)</f>
        <v>0.25346982382592442</v>
      </c>
      <c r="AO87" s="2">
        <f>IFERROR(MainTbl[[#This Row],[C_from_salts]]/MainTbl[[#This Row],[TotalAtoms_all]],0)</f>
        <v>0</v>
      </c>
      <c r="AP87" s="2">
        <f>IFERROR(MainTbl[[#This Row],[F_total]]/MainTbl[[#This Row],[TotalAtoms_all]],0)</f>
        <v>1.4122129194322083E-2</v>
      </c>
      <c r="AQ87" s="2">
        <f>IFERROR(MainTbl[[#This Row],[F_from_solvents]]/MainTbl[[#This Row],[TotalAtoms_all]],0)</f>
        <v>0</v>
      </c>
      <c r="AR87" s="2">
        <f>IFERROR(MainTbl[[#This Row],[F_from_salts]]/MainTbl[[#This Row],[TotalAtoms_all]],0)</f>
        <v>1.4122129194322083E-2</v>
      </c>
      <c r="AS87" s="2">
        <f>IFERROR(MainTbl[[#This Row],[F_total]]/MainTbl[[#This Row],[O_total]],0)</f>
        <v>0.12526925490595159</v>
      </c>
      <c r="AT87" s="2">
        <f>IFERROR(MainTbl[[#This Row],[F_total]]/MainTbl[[#This Row],[C_total]],0)</f>
        <v>5.5715228665723711E-2</v>
      </c>
      <c r="AU87" s="2">
        <f>IFERROR(MainTbl[[#This Row],[O_total]]/MainTbl[[#This Row],[C_total]],0)</f>
        <v>0.44476379066478072</v>
      </c>
      <c r="AV87" s="2">
        <f>IFERROR((MainTbl[[#This Row],[TotalAtoms_all]]-(MainTbl[[#This Row],[C_total]]+MainTbl[[#This Row],[H_total]]+MainTbl[[#This Row],[Li_total]]))/MainTbl[[#This Row],[C_total]],0)</f>
        <v>0.58405186232909034</v>
      </c>
      <c r="AW87" t="str">
        <f>IFERROR(VLOOKUP(MainTbl[[#This Row],[salt_1_smiles]],SaltTbl[],MATCH("Salt",SaltTbl[#Headers],0),FALSE),"")</f>
        <v>LiFSI</v>
      </c>
      <c r="AX87" t="str">
        <f>IFERROR(VLOOKUP(MainTbl[[#This Row],[salt_2_smiles]],SaltTbl[],MATCH("Salt",SaltTbl[#Headers],0),FALSE),"")</f>
        <v/>
      </c>
      <c r="AY87" t="str">
        <f>IFERROR(VLOOKUP(MainTbl[[#This Row],[solvent_1_smiles]],SolvTbl[],MATCH("Solvent",SolvTbl[#Headers],0),FALSE),"")</f>
        <v>Ethylene glycol diethyl ether</v>
      </c>
      <c r="AZ87" t="str">
        <f>IFERROR(VLOOKUP(MainTbl[[#This Row],[solvent_2_smiles]],SolvTbl[],MATCH("Solvent",SolvTbl[#Headers],0),FALSE),"")</f>
        <v/>
      </c>
      <c r="BA87" t="str">
        <f>IFERROR(VLOOKUP(MainTbl[[#This Row],[solvent_3_smiles]],SolvTbl[],MATCH("Solvent",SolvTbl[#Headers],0),FALSE),"")</f>
        <v/>
      </c>
      <c r="BB87">
        <f>--(MainTbl[[#This Row],[solv_1_ratio]]&gt;0)+--(MainTbl[[#This Row],[solv_2_ratio]]&gt;0)+--(MainTbl[[#This Row],[solv_3_ratio]]&gt;0)</f>
        <v>1</v>
      </c>
      <c r="BC87" t="str">
        <f>IF(AND(MainTbl[[#This Row],[SaltName1]]&lt;&gt;"",MainTbl[[#This Row],[salt_1_conc]]&gt;0),TEXT(MainTbl[[#This Row],[salt_1_conc]],"0.###")&amp;" M "&amp;MainTbl[[#This Row],[SaltName1]],"")</f>
        <v>1.2 M LiFSI</v>
      </c>
      <c r="BD87" t="str">
        <f>IF(AND(MainTbl[[#This Row],[SaltName2]]&lt;&gt;"",MainTbl[[#This Row],[salt_2_conc]]&gt;0),TEXT(MainTbl[[#This Row],[salt_2_conc]],"0.###")&amp;" M "&amp;MainTbl[[#This Row],[SaltName2]],"")</f>
        <v/>
      </c>
      <c r="BE8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87" t="str">
        <f>IF(MainTbl[[#This Row],[SolvCount]]=1,MainTbl[[#This Row],[SolvName1]],IF(MainTbl[[#This Row],[solv_1_ratio]]&gt;0,MainTbl[[#This Row],[SolvName1]]&amp;" "&amp;TEXT(MainTbl[[#This Row],[solv_1_ratio]]*100,"0.##")&amp;"%",""))</f>
        <v>Ethylene glycol diethyl ether</v>
      </c>
      <c r="BG87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8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glycol diethyl ether</v>
      </c>
      <c r="BJ87" t="str">
        <f>TRIM(_xlfn.CONCAT(MainTbl[[#This Row],[Salt_text]]," ",MainTbl[[#This Row],[Solvent_text]]))</f>
        <v>1.2 M LiFSI Ethylene glycol diethyl ether</v>
      </c>
    </row>
    <row r="88" spans="1:62" x14ac:dyDescent="0.25">
      <c r="A88" t="s">
        <v>53</v>
      </c>
      <c r="D88" t="s">
        <v>22</v>
      </c>
      <c r="G88">
        <v>1</v>
      </c>
      <c r="H88">
        <v>0</v>
      </c>
      <c r="I88">
        <v>0</v>
      </c>
      <c r="J88">
        <v>1.2</v>
      </c>
      <c r="K88">
        <v>0</v>
      </c>
      <c r="L88">
        <v>0.99299999999999999</v>
      </c>
      <c r="M88">
        <f t="shared" si="2"/>
        <v>99.3</v>
      </c>
      <c r="N88">
        <f t="shared" si="3"/>
        <v>2.1549019599857426</v>
      </c>
      <c r="O88">
        <f>IFERROR(MainTbl[[#This Row],[solv_1_ratio]]*VLOOKUP(MainTbl[[#This Row],[solvent_1_smiles]],SolvTbl[],13,FALSE),0)</f>
        <v>6.3898505936752104</v>
      </c>
      <c r="P88">
        <f>IFERROR(MainTbl[[#This Row],[solv_2_ratio]]*VLOOKUP(MainTbl[[#This Row],[solvent_2_smiles]],SolvTbl[],13,FALSE),0)</f>
        <v>0</v>
      </c>
      <c r="Q88">
        <f>IFERROR(MainTbl[[#This Row],[solv_3_ratio]]*VLOOKUP(MainTbl[[#This Row],[solvent_3_smiles]],SolvTbl[],13,FALSE),0)</f>
        <v>0</v>
      </c>
      <c r="R88">
        <f>IFERROR(MainTbl[[#This Row],[salt_1_conc]],0)</f>
        <v>1.2</v>
      </c>
      <c r="S88">
        <f>IFERROR(MainTbl[[#This Row],[salt_2_conc]],0)</f>
        <v>0</v>
      </c>
      <c r="T8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12.779701187350421</v>
      </c>
      <c r="U8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88">
        <f>MainTbl[[#This Row],[O_from_solvents]]+MainTbl[[#This Row],[O_from_salts]]</f>
        <v>17.57970118735042</v>
      </c>
      <c r="W8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38.339103562051264</v>
      </c>
      <c r="X8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8">
        <f>MainTbl[[#This Row],[C_from_solvents]]+MainTbl[[#This Row],[C_from_salts]]</f>
        <v>38.339103562051264</v>
      </c>
      <c r="Z8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19.169551781025632</v>
      </c>
      <c r="AA8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88">
        <f>MainTbl[[#This Row],[F_from_solvents]]+MainTbl[[#This Row],[F_from_salts]]</f>
        <v>21.569551781025631</v>
      </c>
      <c r="AC8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70.288356530427308</v>
      </c>
      <c r="AD8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8">
        <f>MainTbl[[#This Row],[H_from_solvents]]+MainTbl[[#This Row],[H_from_salts]]</f>
        <v>70.288356530427308</v>
      </c>
      <c r="AF8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88">
        <f>MainTbl[[#This Row],[Li_from_solvents]]+MainTbl[[#This Row],[Li_from_salts]]</f>
        <v>1.2</v>
      </c>
      <c r="AI8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152.57671306085462</v>
      </c>
      <c r="AJ88" s="2">
        <f>IFERROR(MainTbl[[#This Row],[O_total]]/MainTbl[[#This Row],[TotalAtoms_all]],0)</f>
        <v>0.11521876985473416</v>
      </c>
      <c r="AK88" s="2">
        <f>IFERROR(MainTbl[[#This Row],[O_from_solvents]]/MainTbl[[#This Row],[TotalAtoms_all]],0)</f>
        <v>8.3759185336842901E-2</v>
      </c>
      <c r="AL88" s="2">
        <f>IFERROR(MainTbl[[#This Row],[O_from_salts]]/MainTbl[[#This Row],[TotalAtoms_all]],0)</f>
        <v>3.1459584517891263E-2</v>
      </c>
      <c r="AM88" s="2">
        <f>IFERROR(MainTbl[[#This Row],[C_total]]/MainTbl[[#This Row],[TotalAtoms_all]],0)</f>
        <v>0.2512775560105287</v>
      </c>
      <c r="AN88" s="2">
        <f>IFERROR(MainTbl[[#This Row],[C_from_solvents]]/MainTbl[[#This Row],[TotalAtoms_all]],0)</f>
        <v>0.2512775560105287</v>
      </c>
      <c r="AO88" s="2">
        <f>IFERROR(MainTbl[[#This Row],[C_from_salts]]/MainTbl[[#This Row],[TotalAtoms_all]],0)</f>
        <v>0</v>
      </c>
      <c r="AP88" s="2">
        <f>IFERROR(MainTbl[[#This Row],[F_total]]/MainTbl[[#This Row],[TotalAtoms_all]],0)</f>
        <v>0.14136857026420999</v>
      </c>
      <c r="AQ88" s="2">
        <f>IFERROR(MainTbl[[#This Row],[F_from_solvents]]/MainTbl[[#This Row],[TotalAtoms_all]],0)</f>
        <v>0.12563877800526435</v>
      </c>
      <c r="AR88" s="2">
        <f>IFERROR(MainTbl[[#This Row],[F_from_salts]]/MainTbl[[#This Row],[TotalAtoms_all]],0)</f>
        <v>1.5729792258945632E-2</v>
      </c>
      <c r="AS88" s="2">
        <f>IFERROR(MainTbl[[#This Row],[F_total]]/MainTbl[[#This Row],[O_total]],0)</f>
        <v>1.226957816356181</v>
      </c>
      <c r="AT88" s="2">
        <f>IFERROR(MainTbl[[#This Row],[F_total]]/MainTbl[[#This Row],[C_total]],0)</f>
        <v>0.56259927272727273</v>
      </c>
      <c r="AU88" s="2">
        <f>IFERROR(MainTbl[[#This Row],[O_total]]/MainTbl[[#This Row],[C_total]],0)</f>
        <v>0.45853187878787871</v>
      </c>
      <c r="AV88" s="2">
        <f>IFERROR((MainTbl[[#This Row],[TotalAtoms_all]]-(MainTbl[[#This Row],[C_total]]+MainTbl[[#This Row],[H_total]]+MainTbl[[#This Row],[Li_total]]))/MainTbl[[#This Row],[C_total]],0)</f>
        <v>1.1150300606060601</v>
      </c>
      <c r="AW88" t="str">
        <f>IFERROR(VLOOKUP(MainTbl[[#This Row],[salt_1_smiles]],SaltTbl[],MATCH("Salt",SaltTbl[#Headers],0),FALSE),"")</f>
        <v>LiFSI</v>
      </c>
      <c r="AX88" t="str">
        <f>IFERROR(VLOOKUP(MainTbl[[#This Row],[salt_2_smiles]],SaltTbl[],MATCH("Salt",SaltTbl[#Headers],0),FALSE),"")</f>
        <v/>
      </c>
      <c r="AY88" t="str">
        <f>IFERROR(VLOOKUP(MainTbl[[#This Row],[solvent_1_smiles]],SolvTbl[],MATCH("Solvent",SolvTbl[#Headers],0),FALSE),"")</f>
        <v>1-(2,2,2-Trifluoroethoxy)-2-ethoxyethane</v>
      </c>
      <c r="AZ88" t="str">
        <f>IFERROR(VLOOKUP(MainTbl[[#This Row],[solvent_2_smiles]],SolvTbl[],MATCH("Solvent",SolvTbl[#Headers],0),FALSE),"")</f>
        <v/>
      </c>
      <c r="BA88" t="str">
        <f>IFERROR(VLOOKUP(MainTbl[[#This Row],[solvent_3_smiles]],SolvTbl[],MATCH("Solvent",SolvTbl[#Headers],0),FALSE),"")</f>
        <v/>
      </c>
      <c r="BB88">
        <f>--(MainTbl[[#This Row],[solv_1_ratio]]&gt;0)+--(MainTbl[[#This Row],[solv_2_ratio]]&gt;0)+--(MainTbl[[#This Row],[solv_3_ratio]]&gt;0)</f>
        <v>1</v>
      </c>
      <c r="BC88" t="str">
        <f>IF(AND(MainTbl[[#This Row],[SaltName1]]&lt;&gt;"",MainTbl[[#This Row],[salt_1_conc]]&gt;0),TEXT(MainTbl[[#This Row],[salt_1_conc]],"0.###")&amp;" M "&amp;MainTbl[[#This Row],[SaltName1]],"")</f>
        <v>1.2 M LiFSI</v>
      </c>
      <c r="BD88" t="str">
        <f>IF(AND(MainTbl[[#This Row],[SaltName2]]&lt;&gt;"",MainTbl[[#This Row],[salt_2_conc]]&gt;0),TEXT(MainTbl[[#This Row],[salt_2_conc]],"0.###")&amp;" M "&amp;MainTbl[[#This Row],[SaltName2]],"")</f>
        <v/>
      </c>
      <c r="BE8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88" t="str">
        <f>IF(MainTbl[[#This Row],[SolvCount]]=1,MainTbl[[#This Row],[SolvName1]],IF(MainTbl[[#This Row],[solv_1_ratio]]&gt;0,MainTbl[[#This Row],[SolvName1]]&amp;" "&amp;TEXT(MainTbl[[#This Row],[solv_1_ratio]]*100,"0.##")&amp;"%",""))</f>
        <v>1-(2,2,2-Trifluoroethoxy)-2-ethoxyethane</v>
      </c>
      <c r="BG88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8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1-(2,2,2-Trifluoroethoxy)-2-ethoxyethane</v>
      </c>
      <c r="BJ88" t="str">
        <f>TRIM(_xlfn.CONCAT(MainTbl[[#This Row],[Salt_text]]," ",MainTbl[[#This Row],[Solvent_text]]))</f>
        <v>1.2 M LiFSI 1-(2,2,2-Trifluoroethoxy)-2-ethoxyethane</v>
      </c>
    </row>
    <row r="89" spans="1:62" x14ac:dyDescent="0.25">
      <c r="A89" t="s">
        <v>54</v>
      </c>
      <c r="D89" t="s">
        <v>22</v>
      </c>
      <c r="G89">
        <v>1</v>
      </c>
      <c r="H89">
        <v>0</v>
      </c>
      <c r="I89">
        <v>0</v>
      </c>
      <c r="J89">
        <v>1.2</v>
      </c>
      <c r="K89">
        <v>0</v>
      </c>
      <c r="L89">
        <v>0.99299999999999999</v>
      </c>
      <c r="M89">
        <f t="shared" si="2"/>
        <v>99.3</v>
      </c>
      <c r="N89">
        <f t="shared" si="3"/>
        <v>2.1549019599857426</v>
      </c>
      <c r="O89">
        <f>IFERROR(MainTbl[[#This Row],[solv_1_ratio]]*VLOOKUP(MainTbl[[#This Row],[solvent_1_smiles]],SolvTbl[],13,FALSE),0)</f>
        <v>5.7490580389520796</v>
      </c>
      <c r="P89">
        <f>IFERROR(MainTbl[[#This Row],[solv_2_ratio]]*VLOOKUP(MainTbl[[#This Row],[solvent_2_smiles]],SolvTbl[],13,FALSE),0)</f>
        <v>0</v>
      </c>
      <c r="Q89">
        <f>IFERROR(MainTbl[[#This Row],[solv_3_ratio]]*VLOOKUP(MainTbl[[#This Row],[solvent_3_smiles]],SolvTbl[],13,FALSE),0)</f>
        <v>0</v>
      </c>
      <c r="R89">
        <f>IFERROR(MainTbl[[#This Row],[salt_1_conc]],0)</f>
        <v>1.2</v>
      </c>
      <c r="S89">
        <f>IFERROR(MainTbl[[#This Row],[salt_2_conc]],0)</f>
        <v>0</v>
      </c>
      <c r="T8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11.498116077904159</v>
      </c>
      <c r="U8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89">
        <f>MainTbl[[#This Row],[O_from_solvents]]+MainTbl[[#This Row],[O_from_salts]]</f>
        <v>16.298116077904158</v>
      </c>
      <c r="W8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34.494348233712479</v>
      </c>
      <c r="X8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89">
        <f>MainTbl[[#This Row],[C_from_solvents]]+MainTbl[[#This Row],[C_from_salts]]</f>
        <v>34.494348233712479</v>
      </c>
      <c r="Z8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34.494348233712479</v>
      </c>
      <c r="AA8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89">
        <f>MainTbl[[#This Row],[F_from_solvents]]+MainTbl[[#This Row],[F_from_salts]]</f>
        <v>36.894348233712478</v>
      </c>
      <c r="AC8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45.992464311616637</v>
      </c>
      <c r="AD8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89">
        <f>MainTbl[[#This Row],[H_from_solvents]]+MainTbl[[#This Row],[H_from_salts]]</f>
        <v>45.992464311616637</v>
      </c>
      <c r="AF8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8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89">
        <f>MainTbl[[#This Row],[Li_from_solvents]]+MainTbl[[#This Row],[Li_from_salts]]</f>
        <v>1.2</v>
      </c>
      <c r="AI8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138.47927685694575</v>
      </c>
      <c r="AJ89" s="2">
        <f>IFERROR(MainTbl[[#This Row],[O_total]]/MainTbl[[#This Row],[TotalAtoms_all]],0)</f>
        <v>0.11769353832444344</v>
      </c>
      <c r="AK89" s="2">
        <f>IFERROR(MainTbl[[#This Row],[O_from_solvents]]/MainTbl[[#This Row],[TotalAtoms_all]],0)</f>
        <v>8.3031312257516643E-2</v>
      </c>
      <c r="AL89" s="2">
        <f>IFERROR(MainTbl[[#This Row],[O_from_salts]]/MainTbl[[#This Row],[TotalAtoms_all]],0)</f>
        <v>3.4662226066926816E-2</v>
      </c>
      <c r="AM89" s="2">
        <f>IFERROR(MainTbl[[#This Row],[C_total]]/MainTbl[[#This Row],[TotalAtoms_all]],0)</f>
        <v>0.24909393677254993</v>
      </c>
      <c r="AN89" s="2">
        <f>IFERROR(MainTbl[[#This Row],[C_from_solvents]]/MainTbl[[#This Row],[TotalAtoms_all]],0)</f>
        <v>0.24909393677254993</v>
      </c>
      <c r="AO89" s="2">
        <f>IFERROR(MainTbl[[#This Row],[C_from_salts]]/MainTbl[[#This Row],[TotalAtoms_all]],0)</f>
        <v>0</v>
      </c>
      <c r="AP89" s="2">
        <f>IFERROR(MainTbl[[#This Row],[F_total]]/MainTbl[[#This Row],[TotalAtoms_all]],0)</f>
        <v>0.26642504980601334</v>
      </c>
      <c r="AQ89" s="2">
        <f>IFERROR(MainTbl[[#This Row],[F_from_solvents]]/MainTbl[[#This Row],[TotalAtoms_all]],0)</f>
        <v>0.24909393677254993</v>
      </c>
      <c r="AR89" s="2">
        <f>IFERROR(MainTbl[[#This Row],[F_from_salts]]/MainTbl[[#This Row],[TotalAtoms_all]],0)</f>
        <v>1.7331113033463408E-2</v>
      </c>
      <c r="AS89" s="2">
        <f>IFERROR(MainTbl[[#This Row],[F_total]]/MainTbl[[#This Row],[O_total]],0)</f>
        <v>2.2637185830165514</v>
      </c>
      <c r="AT89" s="2">
        <f>IFERROR(MainTbl[[#This Row],[F_total]]/MainTbl[[#This Row],[C_total]],0)</f>
        <v>1.0695766153846153</v>
      </c>
      <c r="AU89" s="2">
        <f>IFERROR(MainTbl[[#This Row],[O_total]]/MainTbl[[#This Row],[C_total]],0)</f>
        <v>0.47248656410256407</v>
      </c>
      <c r="AV89" s="2">
        <f>IFERROR((MainTbl[[#This Row],[TotalAtoms_all]]-(MainTbl[[#This Row],[C_total]]+MainTbl[[#This Row],[H_total]]+MainTbl[[#This Row],[Li_total]]))/MainTbl[[#This Row],[C_total]],0)</f>
        <v>1.6464281025641021</v>
      </c>
      <c r="AW89" t="str">
        <f>IFERROR(VLOOKUP(MainTbl[[#This Row],[salt_1_smiles]],SaltTbl[],MATCH("Salt",SaltTbl[#Headers],0),FALSE),"")</f>
        <v>LiFSI</v>
      </c>
      <c r="AX89" t="str">
        <f>IFERROR(VLOOKUP(MainTbl[[#This Row],[salt_2_smiles]],SaltTbl[],MATCH("Salt",SaltTbl[#Headers],0),FALSE),"")</f>
        <v/>
      </c>
      <c r="AY89" t="str">
        <f>IFERROR(VLOOKUP(MainTbl[[#This Row],[solvent_1_smiles]],SolvTbl[],MATCH("Solvent",SolvTbl[#Headers],0),FALSE),"")</f>
        <v>1,1,1-Trifluoro-2-[2-(2,2,2-trifluoroethoxy)ethoxy]ethane</v>
      </c>
      <c r="AZ89" t="str">
        <f>IFERROR(VLOOKUP(MainTbl[[#This Row],[solvent_2_smiles]],SolvTbl[],MATCH("Solvent",SolvTbl[#Headers],0),FALSE),"")</f>
        <v/>
      </c>
      <c r="BA89" t="str">
        <f>IFERROR(VLOOKUP(MainTbl[[#This Row],[solvent_3_smiles]],SolvTbl[],MATCH("Solvent",SolvTbl[#Headers],0),FALSE),"")</f>
        <v/>
      </c>
      <c r="BB89">
        <f>--(MainTbl[[#This Row],[solv_1_ratio]]&gt;0)+--(MainTbl[[#This Row],[solv_2_ratio]]&gt;0)+--(MainTbl[[#This Row],[solv_3_ratio]]&gt;0)</f>
        <v>1</v>
      </c>
      <c r="BC89" t="str">
        <f>IF(AND(MainTbl[[#This Row],[SaltName1]]&lt;&gt;"",MainTbl[[#This Row],[salt_1_conc]]&gt;0),TEXT(MainTbl[[#This Row],[salt_1_conc]],"0.###")&amp;" M "&amp;MainTbl[[#This Row],[SaltName1]],"")</f>
        <v>1.2 M LiFSI</v>
      </c>
      <c r="BD89" t="str">
        <f>IF(AND(MainTbl[[#This Row],[SaltName2]]&lt;&gt;"",MainTbl[[#This Row],[salt_2_conc]]&gt;0),TEXT(MainTbl[[#This Row],[salt_2_conc]],"0.###")&amp;" M "&amp;MainTbl[[#This Row],[SaltName2]],"")</f>
        <v/>
      </c>
      <c r="BE8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89" t="str">
        <f>IF(MainTbl[[#This Row],[SolvCount]]=1,MainTbl[[#This Row],[SolvName1]],IF(MainTbl[[#This Row],[solv_1_ratio]]&gt;0,MainTbl[[#This Row],[SolvName1]]&amp;" "&amp;TEXT(MainTbl[[#This Row],[solv_1_ratio]]*100,"0.##")&amp;"%",""))</f>
        <v>1,1,1-Trifluoro-2-[2-(2,2,2-trifluoroethoxy)ethoxy]ethane</v>
      </c>
      <c r="BG89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8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8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1,1,1-Trifluoro-2-[2-(2,2,2-trifluoroethoxy)ethoxy]ethane</v>
      </c>
      <c r="BJ89" t="str">
        <f>TRIM(_xlfn.CONCAT(MainTbl[[#This Row],[Salt_text]]," ",MainTbl[[#This Row],[Solvent_text]]))</f>
        <v>1.2 M LiFSI 1,1,1-Trifluoro-2-[2-(2,2,2-trifluoroethoxy)ethoxy]ethane</v>
      </c>
    </row>
    <row r="90" spans="1:62" x14ac:dyDescent="0.25">
      <c r="A90" t="s">
        <v>55</v>
      </c>
      <c r="D90" t="s">
        <v>22</v>
      </c>
      <c r="G90">
        <v>1</v>
      </c>
      <c r="H90">
        <v>0</v>
      </c>
      <c r="I90">
        <v>0</v>
      </c>
      <c r="J90">
        <v>1.2</v>
      </c>
      <c r="K90">
        <v>0</v>
      </c>
      <c r="L90">
        <v>0.995</v>
      </c>
      <c r="M90">
        <f t="shared" si="2"/>
        <v>99.5</v>
      </c>
      <c r="N90">
        <f t="shared" si="3"/>
        <v>2.3010299956639808</v>
      </c>
      <c r="O90">
        <f>IFERROR(MainTbl[[#This Row],[solv_1_ratio]]*VLOOKUP(MainTbl[[#This Row],[solvent_1_smiles]],SolvTbl[],13,FALSE),0)</f>
        <v>6.3111391606184917</v>
      </c>
      <c r="P90">
        <f>IFERROR(MainTbl[[#This Row],[solv_2_ratio]]*VLOOKUP(MainTbl[[#This Row],[solvent_2_smiles]],SolvTbl[],13,FALSE),0)</f>
        <v>0</v>
      </c>
      <c r="Q90">
        <f>IFERROR(MainTbl[[#This Row],[solv_3_ratio]]*VLOOKUP(MainTbl[[#This Row],[solvent_3_smiles]],SolvTbl[],13,FALSE),0)</f>
        <v>0</v>
      </c>
      <c r="R90">
        <f>IFERROR(MainTbl[[#This Row],[salt_1_conc]],0)</f>
        <v>1.2</v>
      </c>
      <c r="S90">
        <f>IFERROR(MainTbl[[#This Row],[salt_2_conc]],0)</f>
        <v>0</v>
      </c>
      <c r="T9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12.622278321236983</v>
      </c>
      <c r="U9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90">
        <f>MainTbl[[#This Row],[O_from_solvents]]+MainTbl[[#This Row],[O_from_salts]]</f>
        <v>17.422278321236984</v>
      </c>
      <c r="W9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37.86683496371095</v>
      </c>
      <c r="X9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90">
        <f>MainTbl[[#This Row],[C_from_solvents]]+MainTbl[[#This Row],[C_from_salts]]</f>
        <v>37.86683496371095</v>
      </c>
      <c r="Z9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25.244556642473967</v>
      </c>
      <c r="AA9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90">
        <f>MainTbl[[#This Row],[F_from_solvents]]+MainTbl[[#This Row],[F_from_salts]]</f>
        <v>27.644556642473965</v>
      </c>
      <c r="AC9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63.111391606184917</v>
      </c>
      <c r="AD9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0">
        <f>MainTbl[[#This Row],[H_from_solvents]]+MainTbl[[#This Row],[H_from_salts]]</f>
        <v>63.111391606184917</v>
      </c>
      <c r="AF9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90">
        <f>MainTbl[[#This Row],[Li_from_solvents]]+MainTbl[[#This Row],[Li_from_salts]]</f>
        <v>1.2</v>
      </c>
      <c r="AI9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150.84506153360681</v>
      </c>
      <c r="AJ90" s="2">
        <f>IFERROR(MainTbl[[#This Row],[O_total]]/MainTbl[[#This Row],[TotalAtoms_all]],0)</f>
        <v>0.11549783694678974</v>
      </c>
      <c r="AK90" s="2">
        <f>IFERROR(MainTbl[[#This Row],[O_from_solvents]]/MainTbl[[#This Row],[TotalAtoms_all]],0)</f>
        <v>8.3677106780355962E-2</v>
      </c>
      <c r="AL90" s="2">
        <f>IFERROR(MainTbl[[#This Row],[O_from_salts]]/MainTbl[[#This Row],[TotalAtoms_all]],0)</f>
        <v>3.1820730166433768E-2</v>
      </c>
      <c r="AM90" s="2">
        <f>IFERROR(MainTbl[[#This Row],[C_total]]/MainTbl[[#This Row],[TotalAtoms_all]],0)</f>
        <v>0.2510313203410679</v>
      </c>
      <c r="AN90" s="2">
        <f>IFERROR(MainTbl[[#This Row],[C_from_solvents]]/MainTbl[[#This Row],[TotalAtoms_all]],0)</f>
        <v>0.2510313203410679</v>
      </c>
      <c r="AO90" s="2">
        <f>IFERROR(MainTbl[[#This Row],[C_from_salts]]/MainTbl[[#This Row],[TotalAtoms_all]],0)</f>
        <v>0</v>
      </c>
      <c r="AP90" s="2">
        <f>IFERROR(MainTbl[[#This Row],[F_total]]/MainTbl[[#This Row],[TotalAtoms_all]],0)</f>
        <v>0.18326457864392881</v>
      </c>
      <c r="AQ90" s="2">
        <f>IFERROR(MainTbl[[#This Row],[F_from_solvents]]/MainTbl[[#This Row],[TotalAtoms_all]],0)</f>
        <v>0.16735421356071192</v>
      </c>
      <c r="AR90" s="2">
        <f>IFERROR(MainTbl[[#This Row],[F_from_salts]]/MainTbl[[#This Row],[TotalAtoms_all]],0)</f>
        <v>1.5910365083216884E-2</v>
      </c>
      <c r="AS90" s="2">
        <f>IFERROR(MainTbl[[#This Row],[F_total]]/MainTbl[[#This Row],[O_total]],0)</f>
        <v>1.5867360245747237</v>
      </c>
      <c r="AT90" s="2">
        <f>IFERROR(MainTbl[[#This Row],[F_total]]/MainTbl[[#This Row],[C_total]],0)</f>
        <v>0.73004666666666662</v>
      </c>
      <c r="AU90" s="2">
        <f>IFERROR(MainTbl[[#This Row],[O_total]]/MainTbl[[#This Row],[C_total]],0)</f>
        <v>0.46009333333333335</v>
      </c>
      <c r="AV90" s="2">
        <f>IFERROR((MainTbl[[#This Row],[TotalAtoms_all]]-(MainTbl[[#This Row],[C_total]]+MainTbl[[#This Row],[H_total]]+MainTbl[[#This Row],[Li_total]]))/MainTbl[[#This Row],[C_total]],0)</f>
        <v>1.2852099999999997</v>
      </c>
      <c r="AW90" t="str">
        <f>IFERROR(VLOOKUP(MainTbl[[#This Row],[salt_1_smiles]],SaltTbl[],MATCH("Salt",SaltTbl[#Headers],0),FALSE),"")</f>
        <v>LiFSI</v>
      </c>
      <c r="AX90" t="str">
        <f>IFERROR(VLOOKUP(MainTbl[[#This Row],[salt_2_smiles]],SaltTbl[],MATCH("Salt",SaltTbl[#Headers],0),FALSE),"")</f>
        <v/>
      </c>
      <c r="AY90" t="str">
        <f>IFERROR(VLOOKUP(MainTbl[[#This Row],[solvent_1_smiles]],SolvTbl[],MATCH("Solvent",SolvTbl[#Headers],0),FALSE),"")</f>
        <v>2-[2-(2,2-Difluoroethoxy)ethoxy]-1,1-difluoroethane</v>
      </c>
      <c r="AZ90" t="str">
        <f>IFERROR(VLOOKUP(MainTbl[[#This Row],[solvent_2_smiles]],SolvTbl[],MATCH("Solvent",SolvTbl[#Headers],0),FALSE),"")</f>
        <v/>
      </c>
      <c r="BA90" t="str">
        <f>IFERROR(VLOOKUP(MainTbl[[#This Row],[solvent_3_smiles]],SolvTbl[],MATCH("Solvent",SolvTbl[#Headers],0),FALSE),"")</f>
        <v/>
      </c>
      <c r="BB90">
        <f>--(MainTbl[[#This Row],[solv_1_ratio]]&gt;0)+--(MainTbl[[#This Row],[solv_2_ratio]]&gt;0)+--(MainTbl[[#This Row],[solv_3_ratio]]&gt;0)</f>
        <v>1</v>
      </c>
      <c r="BC90" t="str">
        <f>IF(AND(MainTbl[[#This Row],[SaltName1]]&lt;&gt;"",MainTbl[[#This Row],[salt_1_conc]]&gt;0),TEXT(MainTbl[[#This Row],[salt_1_conc]],"0.###")&amp;" M "&amp;MainTbl[[#This Row],[SaltName1]],"")</f>
        <v>1.2 M LiFSI</v>
      </c>
      <c r="BD90" t="str">
        <f>IF(AND(MainTbl[[#This Row],[SaltName2]]&lt;&gt;"",MainTbl[[#This Row],[salt_2_conc]]&gt;0),TEXT(MainTbl[[#This Row],[salt_2_conc]],"0.###")&amp;" M "&amp;MainTbl[[#This Row],[SaltName2]],"")</f>
        <v/>
      </c>
      <c r="BE9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90" t="str">
        <f>IF(MainTbl[[#This Row],[SolvCount]]=1,MainTbl[[#This Row],[SolvName1]],IF(MainTbl[[#This Row],[solv_1_ratio]]&gt;0,MainTbl[[#This Row],[SolvName1]]&amp;" "&amp;TEXT(MainTbl[[#This Row],[solv_1_ratio]]*100,"0.##")&amp;"%",""))</f>
        <v>2-[2-(2,2-Difluoroethoxy)ethoxy]-1,1-difluoroethane</v>
      </c>
      <c r="BG90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9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2-[2-(2,2-Difluoroethoxy)ethoxy]-1,1-difluoroethane</v>
      </c>
      <c r="BJ90" t="str">
        <f>TRIM(_xlfn.CONCAT(MainTbl[[#This Row],[Salt_text]]," ",MainTbl[[#This Row],[Solvent_text]]))</f>
        <v>1.2 M LiFSI 2-[2-(2,2-Difluoroethoxy)ethoxy]-1,1-difluoroethane</v>
      </c>
    </row>
    <row r="91" spans="1:62" x14ac:dyDescent="0.25">
      <c r="A91" t="s">
        <v>56</v>
      </c>
      <c r="D91" t="s">
        <v>22</v>
      </c>
      <c r="G91">
        <v>1</v>
      </c>
      <c r="H91">
        <v>0</v>
      </c>
      <c r="I91">
        <v>0</v>
      </c>
      <c r="J91">
        <v>1.2</v>
      </c>
      <c r="K91">
        <v>0</v>
      </c>
      <c r="L91">
        <v>0.995</v>
      </c>
      <c r="M91">
        <f t="shared" si="2"/>
        <v>99.5</v>
      </c>
      <c r="N91">
        <f t="shared" si="3"/>
        <v>2.3010299956639808</v>
      </c>
      <c r="O91">
        <f>IFERROR(MainTbl[[#This Row],[solv_1_ratio]]*VLOOKUP(MainTbl[[#This Row],[solvent_1_smiles]],SolvTbl[],13,FALSE),0)</f>
        <v>6.4862683297138357</v>
      </c>
      <c r="P91">
        <f>IFERROR(MainTbl[[#This Row],[solv_2_ratio]]*VLOOKUP(MainTbl[[#This Row],[solvent_2_smiles]],SolvTbl[],13,FALSE),0)</f>
        <v>0</v>
      </c>
      <c r="Q91">
        <f>IFERROR(MainTbl[[#This Row],[solv_3_ratio]]*VLOOKUP(MainTbl[[#This Row],[solvent_3_smiles]],SolvTbl[],13,FALSE),0)</f>
        <v>0</v>
      </c>
      <c r="R91">
        <f>IFERROR(MainTbl[[#This Row],[salt_1_conc]],0)</f>
        <v>1.2</v>
      </c>
      <c r="S91">
        <f>IFERROR(MainTbl[[#This Row],[salt_2_conc]],0)</f>
        <v>0</v>
      </c>
      <c r="T9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12.972536659427671</v>
      </c>
      <c r="U9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91">
        <f>MainTbl[[#This Row],[O_from_solvents]]+MainTbl[[#This Row],[O_from_salts]]</f>
        <v>17.772536659427672</v>
      </c>
      <c r="W9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38.917609978283011</v>
      </c>
      <c r="X9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91">
        <f>MainTbl[[#This Row],[C_from_solvents]]+MainTbl[[#This Row],[C_from_salts]]</f>
        <v>38.917609978283011</v>
      </c>
      <c r="Z9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32.43134164856918</v>
      </c>
      <c r="AA9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91">
        <f>MainTbl[[#This Row],[F_from_solvents]]+MainTbl[[#This Row],[F_from_salts]]</f>
        <v>34.831341648569179</v>
      </c>
      <c r="AC9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58.376414967424523</v>
      </c>
      <c r="AD9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1">
        <f>MainTbl[[#This Row],[H_from_solvents]]+MainTbl[[#This Row],[H_from_salts]]</f>
        <v>58.376414967424523</v>
      </c>
      <c r="AF9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91">
        <f>MainTbl[[#This Row],[Li_from_solvents]]+MainTbl[[#This Row],[Li_from_salts]]</f>
        <v>1.2</v>
      </c>
      <c r="AI9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154.6979032537044</v>
      </c>
      <c r="AJ91" s="2">
        <f>IFERROR(MainTbl[[#This Row],[O_total]]/MainTbl[[#This Row],[TotalAtoms_all]],0)</f>
        <v>0.11488543985163607</v>
      </c>
      <c r="AK91" s="2">
        <f>IFERROR(MainTbl[[#This Row],[O_from_solvents]]/MainTbl[[#This Row],[TotalAtoms_all]],0)</f>
        <v>8.3857223573048215E-2</v>
      </c>
      <c r="AL91" s="2">
        <f>IFERROR(MainTbl[[#This Row],[O_from_salts]]/MainTbl[[#This Row],[TotalAtoms_all]],0)</f>
        <v>3.1028216278587855E-2</v>
      </c>
      <c r="AM91" s="2">
        <f>IFERROR(MainTbl[[#This Row],[C_total]]/MainTbl[[#This Row],[TotalAtoms_all]],0)</f>
        <v>0.2515716707191446</v>
      </c>
      <c r="AN91" s="2">
        <f>IFERROR(MainTbl[[#This Row],[C_from_solvents]]/MainTbl[[#This Row],[TotalAtoms_all]],0)</f>
        <v>0.2515716707191446</v>
      </c>
      <c r="AO91" s="2">
        <f>IFERROR(MainTbl[[#This Row],[C_from_salts]]/MainTbl[[#This Row],[TotalAtoms_all]],0)</f>
        <v>0</v>
      </c>
      <c r="AP91" s="2">
        <f>IFERROR(MainTbl[[#This Row],[F_total]]/MainTbl[[#This Row],[TotalAtoms_all]],0)</f>
        <v>0.22515716707191444</v>
      </c>
      <c r="AQ91" s="2">
        <f>IFERROR(MainTbl[[#This Row],[F_from_solvents]]/MainTbl[[#This Row],[TotalAtoms_all]],0)</f>
        <v>0.20964305893262053</v>
      </c>
      <c r="AR91" s="2">
        <f>IFERROR(MainTbl[[#This Row],[F_from_salts]]/MainTbl[[#This Row],[TotalAtoms_all]],0)</f>
        <v>1.5514108139293927E-2</v>
      </c>
      <c r="AS91" s="2">
        <f>IFERROR(MainTbl[[#This Row],[F_total]]/MainTbl[[#This Row],[O_total]],0)</f>
        <v>1.9598407540823635</v>
      </c>
      <c r="AT91" s="2">
        <f>IFERROR(MainTbl[[#This Row],[F_total]]/MainTbl[[#This Row],[C_total]],0)</f>
        <v>0.89500207407407417</v>
      </c>
      <c r="AU91" s="2">
        <f>IFERROR(MainTbl[[#This Row],[O_total]]/MainTbl[[#This Row],[C_total]],0)</f>
        <v>0.45667081481481486</v>
      </c>
      <c r="AV91" s="2">
        <f>IFERROR((MainTbl[[#This Row],[TotalAtoms_all]]-(MainTbl[[#This Row],[C_total]]+MainTbl[[#This Row],[H_total]]+MainTbl[[#This Row],[Li_total]]))/MainTbl[[#This Row],[C_total]],0)</f>
        <v>1.4441760000000003</v>
      </c>
      <c r="AW91" t="str">
        <f>IFERROR(VLOOKUP(MainTbl[[#This Row],[salt_1_smiles]],SaltTbl[],MATCH("Salt",SaltTbl[#Headers],0),FALSE),"")</f>
        <v>LiFSI</v>
      </c>
      <c r="AX91" t="str">
        <f>IFERROR(VLOOKUP(MainTbl[[#This Row],[salt_2_smiles]],SaltTbl[],MATCH("Salt",SaltTbl[#Headers],0),FALSE),"")</f>
        <v/>
      </c>
      <c r="AY91" t="str">
        <f>IFERROR(VLOOKUP(MainTbl[[#This Row],[solvent_1_smiles]],SolvTbl[],MATCH("Solvent",SolvTbl[#Headers],0),FALSE),"")</f>
        <v>1-Difluoroethoxy-2-Trifluoroethoxyethane</v>
      </c>
      <c r="AZ91" t="str">
        <f>IFERROR(VLOOKUP(MainTbl[[#This Row],[solvent_2_smiles]],SolvTbl[],MATCH("Solvent",SolvTbl[#Headers],0),FALSE),"")</f>
        <v/>
      </c>
      <c r="BA91" t="str">
        <f>IFERROR(VLOOKUP(MainTbl[[#This Row],[solvent_3_smiles]],SolvTbl[],MATCH("Solvent",SolvTbl[#Headers],0),FALSE),"")</f>
        <v/>
      </c>
      <c r="BB91">
        <f>--(MainTbl[[#This Row],[solv_1_ratio]]&gt;0)+--(MainTbl[[#This Row],[solv_2_ratio]]&gt;0)+--(MainTbl[[#This Row],[solv_3_ratio]]&gt;0)</f>
        <v>1</v>
      </c>
      <c r="BC91" t="str">
        <f>IF(AND(MainTbl[[#This Row],[SaltName1]]&lt;&gt;"",MainTbl[[#This Row],[salt_1_conc]]&gt;0),TEXT(MainTbl[[#This Row],[salt_1_conc]],"0.###")&amp;" M "&amp;MainTbl[[#This Row],[SaltName1]],"")</f>
        <v>1.2 M LiFSI</v>
      </c>
      <c r="BD91" t="str">
        <f>IF(AND(MainTbl[[#This Row],[SaltName2]]&lt;&gt;"",MainTbl[[#This Row],[salt_2_conc]]&gt;0),TEXT(MainTbl[[#This Row],[salt_2_conc]],"0.###")&amp;" M "&amp;MainTbl[[#This Row],[SaltName2]],"")</f>
        <v/>
      </c>
      <c r="BE9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91" t="str">
        <f>IF(MainTbl[[#This Row],[SolvCount]]=1,MainTbl[[#This Row],[SolvName1]],IF(MainTbl[[#This Row],[solv_1_ratio]]&gt;0,MainTbl[[#This Row],[SolvName1]]&amp;" "&amp;TEXT(MainTbl[[#This Row],[solv_1_ratio]]*100,"0.##")&amp;"%",""))</f>
        <v>1-Difluoroethoxy-2-Trifluoroethoxyethane</v>
      </c>
      <c r="BG91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9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1-Difluoroethoxy-2-Trifluoroethoxyethane</v>
      </c>
      <c r="BJ91" t="str">
        <f>TRIM(_xlfn.CONCAT(MainTbl[[#This Row],[Salt_text]]," ",MainTbl[[#This Row],[Solvent_text]]))</f>
        <v>1.2 M LiFSI 1-Difluoroethoxy-2-Trifluoroethoxyethane</v>
      </c>
    </row>
    <row r="92" spans="1:62" x14ac:dyDescent="0.25">
      <c r="A92" t="s">
        <v>36</v>
      </c>
      <c r="D92" t="s">
        <v>22</v>
      </c>
      <c r="G92">
        <v>1</v>
      </c>
      <c r="H92">
        <v>0</v>
      </c>
      <c r="I92">
        <v>0</v>
      </c>
      <c r="J92">
        <v>1</v>
      </c>
      <c r="K92">
        <v>0</v>
      </c>
      <c r="L92">
        <v>0.99519999999999997</v>
      </c>
      <c r="M92">
        <f t="shared" si="2"/>
        <v>99.52</v>
      </c>
      <c r="N92">
        <f t="shared" si="3"/>
        <v>2.3187587626244106</v>
      </c>
      <c r="O92">
        <f>IFERROR(MainTbl[[#This Row],[solv_1_ratio]]*VLOOKUP(MainTbl[[#This Row],[solvent_1_smiles]],SolvTbl[],13,FALSE),0)</f>
        <v>6.3637319869569797</v>
      </c>
      <c r="P92">
        <f>IFERROR(MainTbl[[#This Row],[solv_2_ratio]]*VLOOKUP(MainTbl[[#This Row],[solvent_2_smiles]],SolvTbl[],13,FALSE),0)</f>
        <v>0</v>
      </c>
      <c r="Q92">
        <f>IFERROR(MainTbl[[#This Row],[solv_3_ratio]]*VLOOKUP(MainTbl[[#This Row],[solvent_3_smiles]],SolvTbl[],13,FALSE),0)</f>
        <v>0</v>
      </c>
      <c r="R92">
        <f>IFERROR(MainTbl[[#This Row],[salt_1_conc]],0)</f>
        <v>1</v>
      </c>
      <c r="S92">
        <f>IFERROR(MainTbl[[#This Row],[salt_2_conc]],0)</f>
        <v>0</v>
      </c>
      <c r="T9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12.727463973913959</v>
      </c>
      <c r="U9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92">
        <f>MainTbl[[#This Row],[O_from_solvents]]+MainTbl[[#This Row],[O_from_salts]]</f>
        <v>16.727463973913959</v>
      </c>
      <c r="W9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38.182391921741882</v>
      </c>
      <c r="X9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92">
        <f>MainTbl[[#This Row],[C_from_solvents]]+MainTbl[[#This Row],[C_from_salts]]</f>
        <v>38.182391921741882</v>
      </c>
      <c r="Z9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25.454927947827919</v>
      </c>
      <c r="AA9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92">
        <f>MainTbl[[#This Row],[F_from_solvents]]+MainTbl[[#This Row],[F_from_salts]]</f>
        <v>27.454927947827919</v>
      </c>
      <c r="AC9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63.637319869569794</v>
      </c>
      <c r="AD9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2">
        <f>MainTbl[[#This Row],[H_from_solvents]]+MainTbl[[#This Row],[H_from_salts]]</f>
        <v>63.637319869569794</v>
      </c>
      <c r="AF9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92">
        <f>MainTbl[[#This Row],[Li_from_solvents]]+MainTbl[[#This Row],[Li_from_salts]]</f>
        <v>1</v>
      </c>
      <c r="AI9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150.00210371305354</v>
      </c>
      <c r="AJ92" s="2">
        <f>IFERROR(MainTbl[[#This Row],[O_total]]/MainTbl[[#This Row],[TotalAtoms_all]],0)</f>
        <v>0.11151486252428001</v>
      </c>
      <c r="AK92" s="2">
        <f>IFERROR(MainTbl[[#This Row],[O_from_solvents]]/MainTbl[[#This Row],[TotalAtoms_all]],0)</f>
        <v>8.4848569845799998E-2</v>
      </c>
      <c r="AL92" s="2">
        <f>IFERROR(MainTbl[[#This Row],[O_from_salts]]/MainTbl[[#This Row],[TotalAtoms_all]],0)</f>
        <v>2.6666292678480016E-2</v>
      </c>
      <c r="AM92" s="2">
        <f>IFERROR(MainTbl[[#This Row],[C_total]]/MainTbl[[#This Row],[TotalAtoms_all]],0)</f>
        <v>0.25454570953740002</v>
      </c>
      <c r="AN92" s="2">
        <f>IFERROR(MainTbl[[#This Row],[C_from_solvents]]/MainTbl[[#This Row],[TotalAtoms_all]],0)</f>
        <v>0.25454570953740002</v>
      </c>
      <c r="AO92" s="2">
        <f>IFERROR(MainTbl[[#This Row],[C_from_salts]]/MainTbl[[#This Row],[TotalAtoms_all]],0)</f>
        <v>0</v>
      </c>
      <c r="AP92" s="2">
        <f>IFERROR(MainTbl[[#This Row],[F_total]]/MainTbl[[#This Row],[TotalAtoms_all]],0)</f>
        <v>0.18303028603084001</v>
      </c>
      <c r="AQ92" s="2">
        <f>IFERROR(MainTbl[[#This Row],[F_from_solvents]]/MainTbl[[#This Row],[TotalAtoms_all]],0)</f>
        <v>0.1696971396916</v>
      </c>
      <c r="AR92" s="2">
        <f>IFERROR(MainTbl[[#This Row],[F_from_salts]]/MainTbl[[#This Row],[TotalAtoms_all]],0)</f>
        <v>1.3333146339240008E-2</v>
      </c>
      <c r="AS92" s="2">
        <f>IFERROR(MainTbl[[#This Row],[F_total]]/MainTbl[[#This Row],[O_total]],0)</f>
        <v>1.6413084488266219</v>
      </c>
      <c r="AT92" s="2">
        <f>IFERROR(MainTbl[[#This Row],[F_total]]/MainTbl[[#This Row],[C_total]],0)</f>
        <v>0.71904683195592278</v>
      </c>
      <c r="AU92" s="2">
        <f>IFERROR(MainTbl[[#This Row],[O_total]]/MainTbl[[#This Row],[C_total]],0)</f>
        <v>0.43809366391184568</v>
      </c>
      <c r="AV92" s="2">
        <f>IFERROR((MainTbl[[#This Row],[TotalAtoms_all]]-(MainTbl[[#This Row],[C_total]]+MainTbl[[#This Row],[H_total]]+MainTbl[[#This Row],[Li_total]]))/MainTbl[[#This Row],[C_total]],0)</f>
        <v>1.2357107438016526</v>
      </c>
      <c r="AW92" t="str">
        <f>IFERROR(VLOOKUP(MainTbl[[#This Row],[salt_1_smiles]],SaltTbl[],MATCH("Salt",SaltTbl[#Headers],0),FALSE),"")</f>
        <v>LiFSI</v>
      </c>
      <c r="AX92" t="str">
        <f>IFERROR(VLOOKUP(MainTbl[[#This Row],[salt_2_smiles]],SaltTbl[],MATCH("Salt",SaltTbl[#Headers],0),FALSE),"")</f>
        <v/>
      </c>
      <c r="AY92" t="str">
        <f>IFERROR(VLOOKUP(MainTbl[[#This Row],[solvent_1_smiles]],SolvTbl[],MATCH("Solvent",SolvTbl[#Headers],0),FALSE),"")</f>
        <v>FDMB (C6H10F4O2)</v>
      </c>
      <c r="AZ92" t="str">
        <f>IFERROR(VLOOKUP(MainTbl[[#This Row],[solvent_2_smiles]],SolvTbl[],MATCH("Solvent",SolvTbl[#Headers],0),FALSE),"")</f>
        <v/>
      </c>
      <c r="BA92" t="str">
        <f>IFERROR(VLOOKUP(MainTbl[[#This Row],[solvent_3_smiles]],SolvTbl[],MATCH("Solvent",SolvTbl[#Headers],0),FALSE),"")</f>
        <v/>
      </c>
      <c r="BB92">
        <f>--(MainTbl[[#This Row],[solv_1_ratio]]&gt;0)+--(MainTbl[[#This Row],[solv_2_ratio]]&gt;0)+--(MainTbl[[#This Row],[solv_3_ratio]]&gt;0)</f>
        <v>1</v>
      </c>
      <c r="BC92" t="str">
        <f>IF(AND(MainTbl[[#This Row],[SaltName1]]&lt;&gt;"",MainTbl[[#This Row],[salt_1_conc]]&gt;0),TEXT(MainTbl[[#This Row],[salt_1_conc]],"0.###")&amp;" M "&amp;MainTbl[[#This Row],[SaltName1]],"")</f>
        <v>1. M LiFSI</v>
      </c>
      <c r="BD92" t="str">
        <f>IF(AND(MainTbl[[#This Row],[SaltName2]]&lt;&gt;"",MainTbl[[#This Row],[salt_2_conc]]&gt;0),TEXT(MainTbl[[#This Row],[salt_2_conc]],"0.###")&amp;" M "&amp;MainTbl[[#This Row],[SaltName2]],"")</f>
        <v/>
      </c>
      <c r="BE9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92" t="str">
        <f>IF(MainTbl[[#This Row],[SolvCount]]=1,MainTbl[[#This Row],[SolvName1]],IF(MainTbl[[#This Row],[solv_1_ratio]]&gt;0,MainTbl[[#This Row],[SolvName1]]&amp;" "&amp;TEXT(MainTbl[[#This Row],[solv_1_ratio]]*100,"0.##")&amp;"%",""))</f>
        <v>FDMB (C6H10F4O2)</v>
      </c>
      <c r="BG92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9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FDMB (C6H10F4O2)</v>
      </c>
      <c r="BJ92" t="str">
        <f>TRIM(_xlfn.CONCAT(MainTbl[[#This Row],[Salt_text]]," ",MainTbl[[#This Row],[Solvent_text]]))</f>
        <v>1. M LiFSI FDMB (C6H10F4O2)</v>
      </c>
    </row>
    <row r="93" spans="1:62" x14ac:dyDescent="0.25">
      <c r="A93" t="s">
        <v>18</v>
      </c>
      <c r="D93" t="s">
        <v>22</v>
      </c>
      <c r="E93" t="s">
        <v>23</v>
      </c>
      <c r="G93">
        <v>1</v>
      </c>
      <c r="H93">
        <v>0</v>
      </c>
      <c r="I93">
        <v>0</v>
      </c>
      <c r="J93">
        <v>4</v>
      </c>
      <c r="K93">
        <v>2</v>
      </c>
      <c r="L93">
        <v>0.91700000000000004</v>
      </c>
      <c r="M93">
        <f t="shared" si="2"/>
        <v>91.7</v>
      </c>
      <c r="N93">
        <f t="shared" si="3"/>
        <v>1.0809219076239263</v>
      </c>
      <c r="O93">
        <f>IFERROR(MainTbl[[#This Row],[solv_1_ratio]]*VLOOKUP(MainTbl[[#This Row],[solvent_1_smiles]],SolvTbl[],13,FALSE),0)</f>
        <v>9.631602308033731</v>
      </c>
      <c r="P93">
        <f>IFERROR(MainTbl[[#This Row],[solv_2_ratio]]*VLOOKUP(MainTbl[[#This Row],[solvent_2_smiles]],SolvTbl[],13,FALSE),0)</f>
        <v>0</v>
      </c>
      <c r="Q93">
        <f>IFERROR(MainTbl[[#This Row],[solv_3_ratio]]*VLOOKUP(MainTbl[[#This Row],[solvent_3_smiles]],SolvTbl[],13,FALSE),0)</f>
        <v>0</v>
      </c>
      <c r="R93">
        <f>IFERROR(MainTbl[[#This Row],[salt_1_conc]],0)</f>
        <v>4</v>
      </c>
      <c r="S93">
        <f>IFERROR(MainTbl[[#This Row],[salt_2_conc]],0)</f>
        <v>2</v>
      </c>
      <c r="T9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19.263204616067462</v>
      </c>
      <c r="U9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24</v>
      </c>
      <c r="V93">
        <f>MainTbl[[#This Row],[O_from_solvents]]+MainTbl[[#This Row],[O_from_salts]]</f>
        <v>43.263204616067462</v>
      </c>
      <c r="W9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38.526409232134924</v>
      </c>
      <c r="X9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4</v>
      </c>
      <c r="Y93">
        <f>MainTbl[[#This Row],[C_from_solvents]]+MainTbl[[#This Row],[C_from_salts]]</f>
        <v>42.526409232134924</v>
      </c>
      <c r="Z9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9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20</v>
      </c>
      <c r="AB93">
        <f>MainTbl[[#This Row],[F_from_solvents]]+MainTbl[[#This Row],[F_from_salts]]</f>
        <v>20</v>
      </c>
      <c r="AC9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96.316023080337317</v>
      </c>
      <c r="AD9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3">
        <f>MainTbl[[#This Row],[H_from_solvents]]+MainTbl[[#This Row],[H_from_salts]]</f>
        <v>96.316023080337317</v>
      </c>
      <c r="AF9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6</v>
      </c>
      <c r="AH93">
        <f>MainTbl[[#This Row],[Li_from_solvents]]+MainTbl[[#This Row],[Li_from_salts]]</f>
        <v>6</v>
      </c>
      <c r="AI9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226.1056369285397</v>
      </c>
      <c r="AJ93" s="2">
        <f>IFERROR(MainTbl[[#This Row],[O_total]]/MainTbl[[#This Row],[TotalAtoms_all]],0)</f>
        <v>0.1913406724563029</v>
      </c>
      <c r="AK93" s="2">
        <f>IFERROR(MainTbl[[#This Row],[O_from_solvents]]/MainTbl[[#This Row],[TotalAtoms_all]],0)</f>
        <v>8.5195596526218248E-2</v>
      </c>
      <c r="AL93" s="2">
        <f>IFERROR(MainTbl[[#This Row],[O_from_salts]]/MainTbl[[#This Row],[TotalAtoms_all]],0)</f>
        <v>0.10614507593008465</v>
      </c>
      <c r="AM93" s="2">
        <f>IFERROR(MainTbl[[#This Row],[C_total]]/MainTbl[[#This Row],[TotalAtoms_all]],0)</f>
        <v>0.18808203904078394</v>
      </c>
      <c r="AN93" s="2">
        <f>IFERROR(MainTbl[[#This Row],[C_from_solvents]]/MainTbl[[#This Row],[TotalAtoms_all]],0)</f>
        <v>0.1703911930524365</v>
      </c>
      <c r="AO93" s="2">
        <f>IFERROR(MainTbl[[#This Row],[C_from_salts]]/MainTbl[[#This Row],[TotalAtoms_all]],0)</f>
        <v>1.7690845988347442E-2</v>
      </c>
      <c r="AP93" s="2">
        <f>IFERROR(MainTbl[[#This Row],[F_total]]/MainTbl[[#This Row],[TotalAtoms_all]],0)</f>
        <v>8.8454229941737211E-2</v>
      </c>
      <c r="AQ93" s="2">
        <f>IFERROR(MainTbl[[#This Row],[F_from_solvents]]/MainTbl[[#This Row],[TotalAtoms_all]],0)</f>
        <v>0</v>
      </c>
      <c r="AR93" s="2">
        <f>IFERROR(MainTbl[[#This Row],[F_from_salts]]/MainTbl[[#This Row],[TotalAtoms_all]],0)</f>
        <v>8.8454229941737211E-2</v>
      </c>
      <c r="AS93" s="2">
        <f>IFERROR(MainTbl[[#This Row],[F_total]]/MainTbl[[#This Row],[O_total]],0)</f>
        <v>0.46228660538411037</v>
      </c>
      <c r="AT93" s="2">
        <f>IFERROR(MainTbl[[#This Row],[F_total]]/MainTbl[[#This Row],[C_total]],0)</f>
        <v>0.47029599632613878</v>
      </c>
      <c r="AU93" s="2">
        <f>IFERROR(MainTbl[[#This Row],[O_total]]/MainTbl[[#This Row],[C_total]],0)</f>
        <v>1.0173255959587526</v>
      </c>
      <c r="AV93" s="2">
        <f>IFERROR((MainTbl[[#This Row],[TotalAtoms_all]]-(MainTbl[[#This Row],[C_total]]+MainTbl[[#This Row],[H_total]]+MainTbl[[#This Row],[Li_total]]))/MainTbl[[#This Row],[C_total]],0)</f>
        <v>1.9108879889784165</v>
      </c>
      <c r="AW93" t="str">
        <f>IFERROR(VLOOKUP(MainTbl[[#This Row],[salt_1_smiles]],SaltTbl[],MATCH("Salt",SaltTbl[#Headers],0),FALSE),"")</f>
        <v>LiFSI</v>
      </c>
      <c r="AX93" t="str">
        <f>IFERROR(VLOOKUP(MainTbl[[#This Row],[salt_2_smiles]],SaltTbl[],MATCH("Salt",SaltTbl[#Headers],0),FALSE),"")</f>
        <v>LiTFSI</v>
      </c>
      <c r="AY93" t="str">
        <f>IFERROR(VLOOKUP(MainTbl[[#This Row],[solvent_1_smiles]],SolvTbl[],MATCH("Solvent",SolvTbl[#Headers],0),FALSE),"")</f>
        <v>DME (C4H10O2)</v>
      </c>
      <c r="AZ93" t="str">
        <f>IFERROR(VLOOKUP(MainTbl[[#This Row],[solvent_2_smiles]],SolvTbl[],MATCH("Solvent",SolvTbl[#Headers],0),FALSE),"")</f>
        <v/>
      </c>
      <c r="BA93" t="str">
        <f>IFERROR(VLOOKUP(MainTbl[[#This Row],[solvent_3_smiles]],SolvTbl[],MATCH("Solvent",SolvTbl[#Headers],0),FALSE),"")</f>
        <v/>
      </c>
      <c r="BB93">
        <f>--(MainTbl[[#This Row],[solv_1_ratio]]&gt;0)+--(MainTbl[[#This Row],[solv_2_ratio]]&gt;0)+--(MainTbl[[#This Row],[solv_3_ratio]]&gt;0)</f>
        <v>1</v>
      </c>
      <c r="BC93" t="str">
        <f>IF(AND(MainTbl[[#This Row],[SaltName1]]&lt;&gt;"",MainTbl[[#This Row],[salt_1_conc]]&gt;0),TEXT(MainTbl[[#This Row],[salt_1_conc]],"0.###")&amp;" M "&amp;MainTbl[[#This Row],[SaltName1]],"")</f>
        <v>4. M LiFSI</v>
      </c>
      <c r="BD93" t="str">
        <f>IF(AND(MainTbl[[#This Row],[SaltName2]]&lt;&gt;"",MainTbl[[#This Row],[salt_2_conc]]&gt;0),TEXT(MainTbl[[#This Row],[salt_2_conc]],"0.###")&amp;" M "&amp;MainTbl[[#This Row],[SaltName2]],"")</f>
        <v>2. M LiTFSI</v>
      </c>
      <c r="BE9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4. M LiFSI + 2. M LiTFSI</v>
      </c>
      <c r="BF93" t="str">
        <f>IF(MainTbl[[#This Row],[SolvCount]]=1,MainTbl[[#This Row],[SolvName1]],IF(MainTbl[[#This Row],[solv_1_ratio]]&gt;0,MainTbl[[#This Row],[SolvName1]]&amp;" "&amp;TEXT(MainTbl[[#This Row],[solv_1_ratio]]*100,"0.##")&amp;"%",""))</f>
        <v>DME (C4H10O2)</v>
      </c>
      <c r="BG93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9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</v>
      </c>
      <c r="BJ93" t="str">
        <f>TRIM(_xlfn.CONCAT(MainTbl[[#This Row],[Salt_text]]," ",MainTbl[[#This Row],[Solvent_text]]))</f>
        <v>4. M LiFSI + 2. M LiTFSI DME (C4H10O2)</v>
      </c>
    </row>
    <row r="94" spans="1:62" x14ac:dyDescent="0.25">
      <c r="A94" t="s">
        <v>19</v>
      </c>
      <c r="B94" t="s">
        <v>38</v>
      </c>
      <c r="D94" t="s">
        <v>29</v>
      </c>
      <c r="G94">
        <v>0.5</v>
      </c>
      <c r="H94">
        <v>0.5</v>
      </c>
      <c r="I94">
        <v>0</v>
      </c>
      <c r="J94">
        <v>1</v>
      </c>
      <c r="K94">
        <v>0</v>
      </c>
      <c r="L94">
        <v>0.81899999999999995</v>
      </c>
      <c r="M94">
        <f t="shared" si="2"/>
        <v>81.899999999999991</v>
      </c>
      <c r="N94">
        <f t="shared" si="3"/>
        <v>0.74232142513081534</v>
      </c>
      <c r="O94">
        <f>IFERROR(MainTbl[[#This Row],[solv_1_ratio]]*VLOOKUP(MainTbl[[#This Row],[solvent_1_smiles]],SolvTbl[],13,FALSE),0)</f>
        <v>7.4947196293520486</v>
      </c>
      <c r="P94">
        <f>IFERROR(MainTbl[[#This Row],[solv_2_ratio]]*VLOOKUP(MainTbl[[#This Row],[solvent_2_smiles]],SolvTbl[],13,FALSE),0)</f>
        <v>4.8317067547836778</v>
      </c>
      <c r="Q94">
        <f>IFERROR(MainTbl[[#This Row],[solv_3_ratio]]*VLOOKUP(MainTbl[[#This Row],[solvent_3_smiles]],SolvTbl[],13,FALSE),0)</f>
        <v>0</v>
      </c>
      <c r="R94">
        <f>IFERROR(MainTbl[[#This Row],[salt_1_conc]],0)</f>
        <v>1</v>
      </c>
      <c r="S94">
        <f>IFERROR(MainTbl[[#This Row],[salt_2_conc]],0)</f>
        <v>0</v>
      </c>
      <c r="T9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36.97927915240718</v>
      </c>
      <c r="U9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94">
        <f>MainTbl[[#This Row],[O_from_solvents]]+MainTbl[[#This Row],[O_from_salts]]</f>
        <v>36.97927915240718</v>
      </c>
      <c r="W9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41.810985907190855</v>
      </c>
      <c r="X9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94">
        <f>MainTbl[[#This Row],[C_from_solvents]]+MainTbl[[#This Row],[C_from_salts]]</f>
        <v>41.810985907190855</v>
      </c>
      <c r="Z9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9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94">
        <f>MainTbl[[#This Row],[F_from_solvents]]+MainTbl[[#This Row],[F_from_salts]]</f>
        <v>6</v>
      </c>
      <c r="AC9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68.632532555677614</v>
      </c>
      <c r="AD9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4">
        <f>MainTbl[[#This Row],[H_from_solvents]]+MainTbl[[#This Row],[H_from_salts]]</f>
        <v>68.632532555677614</v>
      </c>
      <c r="AF9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94">
        <f>MainTbl[[#This Row],[Li_from_solvents]]+MainTbl[[#This Row],[Li_from_salts]]</f>
        <v>1</v>
      </c>
      <c r="AI9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155.42279761527567</v>
      </c>
      <c r="AJ94" s="2">
        <f>IFERROR(MainTbl[[#This Row],[O_total]]/MainTbl[[#This Row],[TotalAtoms_all]],0)</f>
        <v>0.23792699475107559</v>
      </c>
      <c r="AK94" s="2">
        <f>IFERROR(MainTbl[[#This Row],[O_from_solvents]]/MainTbl[[#This Row],[TotalAtoms_all]],0)</f>
        <v>0.23792699475107559</v>
      </c>
      <c r="AL94" s="2">
        <f>IFERROR(MainTbl[[#This Row],[O_from_salts]]/MainTbl[[#This Row],[TotalAtoms_all]],0)</f>
        <v>0</v>
      </c>
      <c r="AM94" s="2">
        <f>IFERROR(MainTbl[[#This Row],[C_total]]/MainTbl[[#This Row],[TotalAtoms_all]],0)</f>
        <v>0.26901449818634249</v>
      </c>
      <c r="AN94" s="2">
        <f>IFERROR(MainTbl[[#This Row],[C_from_solvents]]/MainTbl[[#This Row],[TotalAtoms_all]],0)</f>
        <v>0.26901449818634249</v>
      </c>
      <c r="AO94" s="2">
        <f>IFERROR(MainTbl[[#This Row],[C_from_salts]]/MainTbl[[#This Row],[TotalAtoms_all]],0)</f>
        <v>0</v>
      </c>
      <c r="AP94" s="2">
        <f>IFERROR(MainTbl[[#This Row],[F_total]]/MainTbl[[#This Row],[TotalAtoms_all]],0)</f>
        <v>3.8604375240059968E-2</v>
      </c>
      <c r="AQ94" s="2">
        <f>IFERROR(MainTbl[[#This Row],[F_from_solvents]]/MainTbl[[#This Row],[TotalAtoms_all]],0)</f>
        <v>0</v>
      </c>
      <c r="AR94" s="2">
        <f>IFERROR(MainTbl[[#This Row],[F_from_salts]]/MainTbl[[#This Row],[TotalAtoms_all]],0)</f>
        <v>3.8604375240059968E-2</v>
      </c>
      <c r="AS94" s="2">
        <f>IFERROR(MainTbl[[#This Row],[F_total]]/MainTbl[[#This Row],[O_total]],0)</f>
        <v>0.16225302757448229</v>
      </c>
      <c r="AT94" s="2">
        <f>IFERROR(MainTbl[[#This Row],[F_total]]/MainTbl[[#This Row],[C_total]],0)</f>
        <v>0.14350295430292859</v>
      </c>
      <c r="AU94" s="2">
        <f>IFERROR(MainTbl[[#This Row],[O_total]]/MainTbl[[#This Row],[C_total]],0)</f>
        <v>0.88443930106052115</v>
      </c>
      <c r="AV94" s="2">
        <f>IFERROR((MainTbl[[#This Row],[TotalAtoms_all]]-(MainTbl[[#This Row],[C_total]]+MainTbl[[#This Row],[H_total]]+MainTbl[[#This Row],[Li_total]]))/MainTbl[[#This Row],[C_total]],0)</f>
        <v>1.0518594144139384</v>
      </c>
      <c r="AW94" t="str">
        <f>IFERROR(VLOOKUP(MainTbl[[#This Row],[salt_1_smiles]],SaltTbl[],MATCH("Salt",SaltTbl[#Headers],0),FALSE),"")</f>
        <v>LiPF6</v>
      </c>
      <c r="AX94" t="str">
        <f>IFERROR(VLOOKUP(MainTbl[[#This Row],[salt_2_smiles]],SaltTbl[],MATCH("Salt",SaltTbl[#Headers],0),FALSE),"")</f>
        <v/>
      </c>
      <c r="AY94" t="str">
        <f>IFERROR(VLOOKUP(MainTbl[[#This Row],[solvent_1_smiles]],SolvTbl[],MATCH("Solvent",SolvTbl[#Headers],0),FALSE),"")</f>
        <v>Ethylene carbonate</v>
      </c>
      <c r="AZ94" t="str">
        <f>IFERROR(VLOOKUP(MainTbl[[#This Row],[solvent_2_smiles]],SolvTbl[],MATCH("Solvent",SolvTbl[#Headers],0),FALSE),"")</f>
        <v>EMC (C4H8O3)</v>
      </c>
      <c r="BA94" t="str">
        <f>IFERROR(VLOOKUP(MainTbl[[#This Row],[solvent_3_smiles]],SolvTbl[],MATCH("Solvent",SolvTbl[#Headers],0),FALSE),"")</f>
        <v/>
      </c>
      <c r="BB94">
        <f>--(MainTbl[[#This Row],[solv_1_ratio]]&gt;0)+--(MainTbl[[#This Row],[solv_2_ratio]]&gt;0)+--(MainTbl[[#This Row],[solv_3_ratio]]&gt;0)</f>
        <v>2</v>
      </c>
      <c r="BC94" t="str">
        <f>IF(AND(MainTbl[[#This Row],[SaltName1]]&lt;&gt;"",MainTbl[[#This Row],[salt_1_conc]]&gt;0),TEXT(MainTbl[[#This Row],[salt_1_conc]],"0.###")&amp;" M "&amp;MainTbl[[#This Row],[SaltName1]],"")</f>
        <v>1. M LiPF6</v>
      </c>
      <c r="BD94" t="str">
        <f>IF(AND(MainTbl[[#This Row],[SaltName2]]&lt;&gt;"",MainTbl[[#This Row],[salt_2_conc]]&gt;0),TEXT(MainTbl[[#This Row],[salt_2_conc]],"0.###")&amp;" M "&amp;MainTbl[[#This Row],[SaltName2]],"")</f>
        <v/>
      </c>
      <c r="BE9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94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94" t="str">
        <f>IF(MainTbl[[#This Row],[SolvCount]]=1,MainTbl[[#This Row],[SolvName2]],IF(MainTbl[[#This Row],[solv_2_ratio]]&gt;0,MainTbl[[#This Row],[SolvName2]]&amp;" "&amp;TEXT(MainTbl[[#This Row],[solv_2_ratio]]*100,"0.##")&amp;"%",""))</f>
        <v>EMC (C4H8O3) 50.%</v>
      </c>
      <c r="BH9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EMC (C4H8O3) 50.%</v>
      </c>
      <c r="BJ94" t="str">
        <f>TRIM(_xlfn.CONCAT(MainTbl[[#This Row],[Salt_text]]," ",MainTbl[[#This Row],[Solvent_text]]))</f>
        <v>1. M LiPF6 Ethylene carbonate 50.% + EMC (C4H8O3) 50.%</v>
      </c>
    </row>
    <row r="95" spans="1:62" x14ac:dyDescent="0.25">
      <c r="A95" t="s">
        <v>27</v>
      </c>
      <c r="D95" t="s">
        <v>22</v>
      </c>
      <c r="G95">
        <v>1</v>
      </c>
      <c r="H95">
        <v>0</v>
      </c>
      <c r="I95">
        <v>0</v>
      </c>
      <c r="J95">
        <v>2</v>
      </c>
      <c r="K95">
        <v>0</v>
      </c>
      <c r="L95">
        <v>0.17299999999999999</v>
      </c>
      <c r="M95">
        <f t="shared" si="2"/>
        <v>17.299999999999997</v>
      </c>
      <c r="N95">
        <f t="shared" si="3"/>
        <v>8.2494490447453356E-2</v>
      </c>
      <c r="O95">
        <f>IFERROR(MainTbl[[#This Row],[solv_1_ratio]]*VLOOKUP(MainTbl[[#This Row],[solvent_1_smiles]],SolvTbl[],13,FALSE),0)</f>
        <v>11.878594107329203</v>
      </c>
      <c r="P95">
        <f>IFERROR(MainTbl[[#This Row],[solv_2_ratio]]*VLOOKUP(MainTbl[[#This Row],[solvent_2_smiles]],SolvTbl[],13,FALSE),0)</f>
        <v>0</v>
      </c>
      <c r="Q95">
        <f>IFERROR(MainTbl[[#This Row],[solv_3_ratio]]*VLOOKUP(MainTbl[[#This Row],[solvent_3_smiles]],SolvTbl[],13,FALSE),0)</f>
        <v>0</v>
      </c>
      <c r="R95">
        <f>IFERROR(MainTbl[[#This Row],[salt_1_conc]],0)</f>
        <v>2</v>
      </c>
      <c r="S95">
        <f>IFERROR(MainTbl[[#This Row],[salt_2_conc]],0)</f>
        <v>0</v>
      </c>
      <c r="T9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35.635782321987605</v>
      </c>
      <c r="U9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8</v>
      </c>
      <c r="V95">
        <f>MainTbl[[#This Row],[O_from_solvents]]+MainTbl[[#This Row],[O_from_salts]]</f>
        <v>43.635782321987605</v>
      </c>
      <c r="W9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35.635782321987605</v>
      </c>
      <c r="X9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95">
        <f>MainTbl[[#This Row],[C_from_solvents]]+MainTbl[[#This Row],[C_from_salts]]</f>
        <v>35.635782321987605</v>
      </c>
      <c r="Z9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9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4</v>
      </c>
      <c r="AB95">
        <f>MainTbl[[#This Row],[F_from_solvents]]+MainTbl[[#This Row],[F_from_salts]]</f>
        <v>4</v>
      </c>
      <c r="AC9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71.271564643975211</v>
      </c>
      <c r="AD9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5">
        <f>MainTbl[[#This Row],[H_from_solvents]]+MainTbl[[#This Row],[H_from_salts]]</f>
        <v>71.271564643975211</v>
      </c>
      <c r="AF9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2</v>
      </c>
      <c r="AH95">
        <f>MainTbl[[#This Row],[Li_from_solvents]]+MainTbl[[#This Row],[Li_from_salts]]</f>
        <v>2</v>
      </c>
      <c r="AI9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162.54312928795042</v>
      </c>
      <c r="AJ95" s="2">
        <f>IFERROR(MainTbl[[#This Row],[O_total]]/MainTbl[[#This Row],[TotalAtoms_all]],0)</f>
        <v>0.26845663986624374</v>
      </c>
      <c r="AK95" s="2">
        <f>IFERROR(MainTbl[[#This Row],[O_from_solvents]]/MainTbl[[#This Row],[TotalAtoms_all]],0)</f>
        <v>0.2192389335562604</v>
      </c>
      <c r="AL95" s="2">
        <f>IFERROR(MainTbl[[#This Row],[O_from_salts]]/MainTbl[[#This Row],[TotalAtoms_all]],0)</f>
        <v>4.9217706309983372E-2</v>
      </c>
      <c r="AM95" s="2">
        <f>IFERROR(MainTbl[[#This Row],[C_total]]/MainTbl[[#This Row],[TotalAtoms_all]],0)</f>
        <v>0.2192389335562604</v>
      </c>
      <c r="AN95" s="2">
        <f>IFERROR(MainTbl[[#This Row],[C_from_solvents]]/MainTbl[[#This Row],[TotalAtoms_all]],0)</f>
        <v>0.2192389335562604</v>
      </c>
      <c r="AO95" s="2">
        <f>IFERROR(MainTbl[[#This Row],[C_from_salts]]/MainTbl[[#This Row],[TotalAtoms_all]],0)</f>
        <v>0</v>
      </c>
      <c r="AP95" s="2">
        <f>IFERROR(MainTbl[[#This Row],[F_total]]/MainTbl[[#This Row],[TotalAtoms_all]],0)</f>
        <v>2.4608853154991686E-2</v>
      </c>
      <c r="AQ95" s="2">
        <f>IFERROR(MainTbl[[#This Row],[F_from_solvents]]/MainTbl[[#This Row],[TotalAtoms_all]],0)</f>
        <v>0</v>
      </c>
      <c r="AR95" s="2">
        <f>IFERROR(MainTbl[[#This Row],[F_from_salts]]/MainTbl[[#This Row],[TotalAtoms_all]],0)</f>
        <v>2.4608853154991686E-2</v>
      </c>
      <c r="AS95" s="2">
        <f>IFERROR(MainTbl[[#This Row],[F_total]]/MainTbl[[#This Row],[O_total]],0)</f>
        <v>9.1667887846815177E-2</v>
      </c>
      <c r="AT95" s="2">
        <f>IFERROR(MainTbl[[#This Row],[F_total]]/MainTbl[[#This Row],[C_total]],0)</f>
        <v>0.11224672897196264</v>
      </c>
      <c r="AU95" s="2">
        <f>IFERROR(MainTbl[[#This Row],[O_total]]/MainTbl[[#This Row],[C_total]],0)</f>
        <v>1.2244934579439253</v>
      </c>
      <c r="AV95" s="2">
        <f>IFERROR((MainTbl[[#This Row],[TotalAtoms_all]]-(MainTbl[[#This Row],[C_total]]+MainTbl[[#This Row],[H_total]]+MainTbl[[#This Row],[Li_total]]))/MainTbl[[#This Row],[C_total]],0)</f>
        <v>1.5051102803738319</v>
      </c>
      <c r="AW95" t="str">
        <f>IFERROR(VLOOKUP(MainTbl[[#This Row],[salt_1_smiles]],SaltTbl[],MATCH("Salt",SaltTbl[#Headers],0),FALSE),"")</f>
        <v>LiFSI</v>
      </c>
      <c r="AX95" t="str">
        <f>IFERROR(VLOOKUP(MainTbl[[#This Row],[salt_2_smiles]],SaltTbl[],MATCH("Salt",SaltTbl[#Headers],0),FALSE),"")</f>
        <v/>
      </c>
      <c r="AY95" t="str">
        <f>IFERROR(VLOOKUP(MainTbl[[#This Row],[solvent_1_smiles]],SolvTbl[],MATCH("Solvent",SolvTbl[#Headers],0),FALSE),"")</f>
        <v>DMC (C3H6O3)</v>
      </c>
      <c r="AZ95" t="str">
        <f>IFERROR(VLOOKUP(MainTbl[[#This Row],[solvent_2_smiles]],SolvTbl[],MATCH("Solvent",SolvTbl[#Headers],0),FALSE),"")</f>
        <v/>
      </c>
      <c r="BA95" t="str">
        <f>IFERROR(VLOOKUP(MainTbl[[#This Row],[solvent_3_smiles]],SolvTbl[],MATCH("Solvent",SolvTbl[#Headers],0),FALSE),"")</f>
        <v/>
      </c>
      <c r="BB95">
        <f>--(MainTbl[[#This Row],[solv_1_ratio]]&gt;0)+--(MainTbl[[#This Row],[solv_2_ratio]]&gt;0)+--(MainTbl[[#This Row],[solv_3_ratio]]&gt;0)</f>
        <v>1</v>
      </c>
      <c r="BC95" t="str">
        <f>IF(AND(MainTbl[[#This Row],[SaltName1]]&lt;&gt;"",MainTbl[[#This Row],[salt_1_conc]]&gt;0),TEXT(MainTbl[[#This Row],[salt_1_conc]],"0.###")&amp;" M "&amp;MainTbl[[#This Row],[SaltName1]],"")</f>
        <v>2. M LiFSI</v>
      </c>
      <c r="BD95" t="str">
        <f>IF(AND(MainTbl[[#This Row],[SaltName2]]&lt;&gt;"",MainTbl[[#This Row],[salt_2_conc]]&gt;0),TEXT(MainTbl[[#This Row],[salt_2_conc]],"0.###")&amp;" M "&amp;MainTbl[[#This Row],[SaltName2]],"")</f>
        <v/>
      </c>
      <c r="BE9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2. M LiFSI</v>
      </c>
      <c r="BF95" t="str">
        <f>IF(MainTbl[[#This Row],[SolvCount]]=1,MainTbl[[#This Row],[SolvName1]],IF(MainTbl[[#This Row],[solv_1_ratio]]&gt;0,MainTbl[[#This Row],[SolvName1]]&amp;" "&amp;TEXT(MainTbl[[#This Row],[solv_1_ratio]]*100,"0.##")&amp;"%",""))</f>
        <v>DMC (C3H6O3)</v>
      </c>
      <c r="BG95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9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DMC (C3H6O3)</v>
      </c>
      <c r="BJ95" t="str">
        <f>TRIM(_xlfn.CONCAT(MainTbl[[#This Row],[Salt_text]]," ",MainTbl[[#This Row],[Solvent_text]]))</f>
        <v>2. M LiFSI DMC (C3H6O3)</v>
      </c>
    </row>
    <row r="96" spans="1:62" x14ac:dyDescent="0.25">
      <c r="A96" t="s">
        <v>18</v>
      </c>
      <c r="B96" t="s">
        <v>20</v>
      </c>
      <c r="D96" t="s">
        <v>23</v>
      </c>
      <c r="G96">
        <v>0.5</v>
      </c>
      <c r="H96">
        <v>0.5</v>
      </c>
      <c r="I96">
        <v>0</v>
      </c>
      <c r="J96">
        <v>0.5</v>
      </c>
      <c r="K96">
        <v>0</v>
      </c>
      <c r="L96">
        <v>0.50900000000000001</v>
      </c>
      <c r="M96">
        <f t="shared" si="2"/>
        <v>50.9</v>
      </c>
      <c r="N96">
        <f t="shared" si="3"/>
        <v>0.30891850787703151</v>
      </c>
      <c r="O96">
        <f>IFERROR(MainTbl[[#This Row],[solv_1_ratio]]*VLOOKUP(MainTbl[[#This Row],[solvent_1_smiles]],SolvTbl[],13,FALSE),0)</f>
        <v>4.8158011540168655</v>
      </c>
      <c r="P96">
        <f>IFERROR(MainTbl[[#This Row],[solv_2_ratio]]*VLOOKUP(MainTbl[[#This Row],[solvent_2_smiles]],SolvTbl[],13,FALSE),0)</f>
        <v>7.1546208050973297</v>
      </c>
      <c r="Q96">
        <f>IFERROR(MainTbl[[#This Row],[solv_3_ratio]]*VLOOKUP(MainTbl[[#This Row],[solvent_3_smiles]],SolvTbl[],13,FALSE),0)</f>
        <v>0</v>
      </c>
      <c r="R96">
        <f>IFERROR(MainTbl[[#This Row],[salt_1_conc]],0)</f>
        <v>0.5</v>
      </c>
      <c r="S96">
        <f>IFERROR(MainTbl[[#This Row],[salt_2_conc]],0)</f>
        <v>0</v>
      </c>
      <c r="T9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23.940843918228389</v>
      </c>
      <c r="U9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2</v>
      </c>
      <c r="V96">
        <f>MainTbl[[#This Row],[O_from_solvents]]+MainTbl[[#This Row],[O_from_salts]]</f>
        <v>25.940843918228389</v>
      </c>
      <c r="W9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40.727067031359454</v>
      </c>
      <c r="X9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1</v>
      </c>
      <c r="Y96">
        <f>MainTbl[[#This Row],[C_from_solvents]]+MainTbl[[#This Row],[C_from_salts]]</f>
        <v>41.727067031359454</v>
      </c>
      <c r="Z9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9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3</v>
      </c>
      <c r="AB96">
        <f>MainTbl[[#This Row],[F_from_solvents]]+MainTbl[[#This Row],[F_from_salts]]</f>
        <v>3</v>
      </c>
      <c r="AC9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91.085736370752642</v>
      </c>
      <c r="AD9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6">
        <f>MainTbl[[#This Row],[H_from_solvents]]+MainTbl[[#This Row],[H_from_salts]]</f>
        <v>91.085736370752642</v>
      </c>
      <c r="AF9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0.5</v>
      </c>
      <c r="AH96">
        <f>MainTbl[[#This Row],[Li_from_solvents]]+MainTbl[[#This Row],[Li_from_salts]]</f>
        <v>0.5</v>
      </c>
      <c r="AI9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163.75364732034046</v>
      </c>
      <c r="AJ96" s="2">
        <f>IFERROR(MainTbl[[#This Row],[O_total]]/MainTbl[[#This Row],[TotalAtoms_all]],0)</f>
        <v>0.15841383897533609</v>
      </c>
      <c r="AK96" s="2">
        <f>IFERROR(MainTbl[[#This Row],[O_from_solvents]]/MainTbl[[#This Row],[TotalAtoms_all]],0)</f>
        <v>0.14620037055659893</v>
      </c>
      <c r="AL96" s="2">
        <f>IFERROR(MainTbl[[#This Row],[O_from_salts]]/MainTbl[[#This Row],[TotalAtoms_all]],0)</f>
        <v>1.2213468418737152E-2</v>
      </c>
      <c r="AM96" s="2">
        <f>IFERROR(MainTbl[[#This Row],[C_total]]/MainTbl[[#This Row],[TotalAtoms_all]],0)</f>
        <v>0.25481610769701846</v>
      </c>
      <c r="AN96" s="2">
        <f>IFERROR(MainTbl[[#This Row],[C_from_solvents]]/MainTbl[[#This Row],[TotalAtoms_all]],0)</f>
        <v>0.24870937348764988</v>
      </c>
      <c r="AO96" s="2">
        <f>IFERROR(MainTbl[[#This Row],[C_from_salts]]/MainTbl[[#This Row],[TotalAtoms_all]],0)</f>
        <v>6.1067342093685762E-3</v>
      </c>
      <c r="AP96" s="2">
        <f>IFERROR(MainTbl[[#This Row],[F_total]]/MainTbl[[#This Row],[TotalAtoms_all]],0)</f>
        <v>1.8320202628105728E-2</v>
      </c>
      <c r="AQ96" s="2">
        <f>IFERROR(MainTbl[[#This Row],[F_from_solvents]]/MainTbl[[#This Row],[TotalAtoms_all]],0)</f>
        <v>0</v>
      </c>
      <c r="AR96" s="2">
        <f>IFERROR(MainTbl[[#This Row],[F_from_salts]]/MainTbl[[#This Row],[TotalAtoms_all]],0)</f>
        <v>1.8320202628105728E-2</v>
      </c>
      <c r="AS96" s="2">
        <f>IFERROR(MainTbl[[#This Row],[F_total]]/MainTbl[[#This Row],[O_total]],0)</f>
        <v>0.11564774104715722</v>
      </c>
      <c r="AT96" s="2">
        <f>IFERROR(MainTbl[[#This Row],[F_total]]/MainTbl[[#This Row],[C_total]],0)</f>
        <v>7.1895779249123534E-2</v>
      </c>
      <c r="AU96" s="2">
        <f>IFERROR(MainTbl[[#This Row],[O_total]]/MainTbl[[#This Row],[C_total]],0)</f>
        <v>0.62167906262697237</v>
      </c>
      <c r="AV96" s="2">
        <f>IFERROR((MainTbl[[#This Row],[TotalAtoms_all]]-(MainTbl[[#This Row],[C_total]]+MainTbl[[#This Row],[H_total]]+MainTbl[[#This Row],[Li_total]]))/MainTbl[[#This Row],[C_total]],0)</f>
        <v>0.7295227315006575</v>
      </c>
      <c r="AW96" t="str">
        <f>IFERROR(VLOOKUP(MainTbl[[#This Row],[salt_1_smiles]],SaltTbl[],MATCH("Salt",SaltTbl[#Headers],0),FALSE),"")</f>
        <v>LiTFSI</v>
      </c>
      <c r="AX96" t="str">
        <f>IFERROR(VLOOKUP(MainTbl[[#This Row],[salt_2_smiles]],SaltTbl[],MATCH("Salt",SaltTbl[#Headers],0),FALSE),"")</f>
        <v/>
      </c>
      <c r="AY96" t="str">
        <f>IFERROR(VLOOKUP(MainTbl[[#This Row],[solvent_1_smiles]],SolvTbl[],MATCH("Solvent",SolvTbl[#Headers],0),FALSE),"")</f>
        <v>DME (C4H10O2)</v>
      </c>
      <c r="AZ96" t="str">
        <f>IFERROR(VLOOKUP(MainTbl[[#This Row],[solvent_2_smiles]],SolvTbl[],MATCH("Solvent",SolvTbl[#Headers],0),FALSE),"")</f>
        <v>1,3-dioxolane (	C3H6O2)</v>
      </c>
      <c r="BA96" t="str">
        <f>IFERROR(VLOOKUP(MainTbl[[#This Row],[solvent_3_smiles]],SolvTbl[],MATCH("Solvent",SolvTbl[#Headers],0),FALSE),"")</f>
        <v/>
      </c>
      <c r="BB96">
        <f>--(MainTbl[[#This Row],[solv_1_ratio]]&gt;0)+--(MainTbl[[#This Row],[solv_2_ratio]]&gt;0)+--(MainTbl[[#This Row],[solv_3_ratio]]&gt;0)</f>
        <v>2</v>
      </c>
      <c r="BC96" t="str">
        <f>IF(AND(MainTbl[[#This Row],[SaltName1]]&lt;&gt;"",MainTbl[[#This Row],[salt_1_conc]]&gt;0),TEXT(MainTbl[[#This Row],[salt_1_conc]],"0.###")&amp;" M "&amp;MainTbl[[#This Row],[SaltName1]],"")</f>
        <v>0.5 M LiTFSI</v>
      </c>
      <c r="BD96" t="str">
        <f>IF(AND(MainTbl[[#This Row],[SaltName2]]&lt;&gt;"",MainTbl[[#This Row],[salt_2_conc]]&gt;0),TEXT(MainTbl[[#This Row],[salt_2_conc]],"0.###")&amp;" M "&amp;MainTbl[[#This Row],[SaltName2]],"")</f>
        <v/>
      </c>
      <c r="BE9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0.5 M LiTFSI</v>
      </c>
      <c r="BF96" t="str">
        <f>IF(MainTbl[[#This Row],[SolvCount]]=1,MainTbl[[#This Row],[SolvName1]],IF(MainTbl[[#This Row],[solv_1_ratio]]&gt;0,MainTbl[[#This Row],[SolvName1]]&amp;" "&amp;TEXT(MainTbl[[#This Row],[solv_1_ratio]]*100,"0.##")&amp;"%",""))</f>
        <v>DME (C4H10O2) 50.%</v>
      </c>
      <c r="BG96" t="str">
        <f>IF(MainTbl[[#This Row],[SolvCount]]=1,MainTbl[[#This Row],[SolvName2]],IF(MainTbl[[#This Row],[solv_2_ratio]]&gt;0,MainTbl[[#This Row],[SolvName2]]&amp;" "&amp;TEXT(MainTbl[[#This Row],[solv_2_ratio]]*100,"0.##")&amp;"%",""))</f>
        <v>1,3-dioxolane (	C3H6O2) 50.%</v>
      </c>
      <c r="BH9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50.% + 1,3-dioxolane (	C3H6O2) 50.%</v>
      </c>
      <c r="BJ96" t="str">
        <f>TRIM(_xlfn.CONCAT(MainTbl[[#This Row],[Salt_text]]," ",MainTbl[[#This Row],[Solvent_text]]))</f>
        <v>0.5 M LiTFSI DME (C4H10O2) 50.% + 1,3-dioxolane (	C3H6O2) 50.%</v>
      </c>
    </row>
    <row r="97" spans="1:62" x14ac:dyDescent="0.25">
      <c r="A97" t="s">
        <v>18</v>
      </c>
      <c r="B97" t="s">
        <v>20</v>
      </c>
      <c r="D97" t="s">
        <v>23</v>
      </c>
      <c r="G97">
        <v>0.5</v>
      </c>
      <c r="H97">
        <v>0.5</v>
      </c>
      <c r="I97">
        <v>0</v>
      </c>
      <c r="J97">
        <v>1</v>
      </c>
      <c r="K97">
        <v>0</v>
      </c>
      <c r="L97">
        <v>0.73199999999999998</v>
      </c>
      <c r="M97">
        <f t="shared" si="2"/>
        <v>73.2</v>
      </c>
      <c r="N97">
        <f t="shared" si="3"/>
        <v>0.57186520597121115</v>
      </c>
      <c r="O97">
        <f>IFERROR(MainTbl[[#This Row],[solv_1_ratio]]*VLOOKUP(MainTbl[[#This Row],[solvent_1_smiles]],SolvTbl[],13,FALSE),0)</f>
        <v>4.8158011540168655</v>
      </c>
      <c r="P97">
        <f>IFERROR(MainTbl[[#This Row],[solv_2_ratio]]*VLOOKUP(MainTbl[[#This Row],[solvent_2_smiles]],SolvTbl[],13,FALSE),0)</f>
        <v>7.1546208050973297</v>
      </c>
      <c r="Q97">
        <f>IFERROR(MainTbl[[#This Row],[solv_3_ratio]]*VLOOKUP(MainTbl[[#This Row],[solvent_3_smiles]],SolvTbl[],13,FALSE),0)</f>
        <v>0</v>
      </c>
      <c r="R97">
        <f>IFERROR(MainTbl[[#This Row],[salt_1_conc]],0)</f>
        <v>1</v>
      </c>
      <c r="S97">
        <f>IFERROR(MainTbl[[#This Row],[salt_2_conc]],0)</f>
        <v>0</v>
      </c>
      <c r="T9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23.940843918228389</v>
      </c>
      <c r="U9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97">
        <f>MainTbl[[#This Row],[O_from_solvents]]+MainTbl[[#This Row],[O_from_salts]]</f>
        <v>27.940843918228389</v>
      </c>
      <c r="W9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40.727067031359454</v>
      </c>
      <c r="X9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2</v>
      </c>
      <c r="Y97">
        <f>MainTbl[[#This Row],[C_from_solvents]]+MainTbl[[#This Row],[C_from_salts]]</f>
        <v>42.727067031359454</v>
      </c>
      <c r="Z9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9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97">
        <f>MainTbl[[#This Row],[F_from_solvents]]+MainTbl[[#This Row],[F_from_salts]]</f>
        <v>6</v>
      </c>
      <c r="AC9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91.085736370752642</v>
      </c>
      <c r="AD9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7">
        <f>MainTbl[[#This Row],[H_from_solvents]]+MainTbl[[#This Row],[H_from_salts]]</f>
        <v>91.085736370752642</v>
      </c>
      <c r="AF9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97">
        <f>MainTbl[[#This Row],[Li_from_solvents]]+MainTbl[[#This Row],[Li_from_salts]]</f>
        <v>1</v>
      </c>
      <c r="AI9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171.75364732034046</v>
      </c>
      <c r="AJ97" s="2">
        <f>IFERROR(MainTbl[[#This Row],[O_total]]/MainTbl[[#This Row],[TotalAtoms_all]],0)</f>
        <v>0.16267977043954981</v>
      </c>
      <c r="AK97" s="2">
        <f>IFERROR(MainTbl[[#This Row],[O_from_solvents]]/MainTbl[[#This Row],[TotalAtoms_all]],0)</f>
        <v>0.13939059980237822</v>
      </c>
      <c r="AL97" s="2">
        <f>IFERROR(MainTbl[[#This Row],[O_from_salts]]/MainTbl[[#This Row],[TotalAtoms_all]],0)</f>
        <v>2.3289170637171602E-2</v>
      </c>
      <c r="AM97" s="2">
        <f>IFERROR(MainTbl[[#This Row],[C_total]]/MainTbl[[#This Row],[TotalAtoms_all]],0)</f>
        <v>0.24876948872979984</v>
      </c>
      <c r="AN97" s="2">
        <f>IFERROR(MainTbl[[#This Row],[C_from_solvents]]/MainTbl[[#This Row],[TotalAtoms_all]],0)</f>
        <v>0.23712490341121403</v>
      </c>
      <c r="AO97" s="2">
        <f>IFERROR(MainTbl[[#This Row],[C_from_salts]]/MainTbl[[#This Row],[TotalAtoms_all]],0)</f>
        <v>1.1644585318585801E-2</v>
      </c>
      <c r="AP97" s="2">
        <f>IFERROR(MainTbl[[#This Row],[F_total]]/MainTbl[[#This Row],[TotalAtoms_all]],0)</f>
        <v>3.4933755955757401E-2</v>
      </c>
      <c r="AQ97" s="2">
        <f>IFERROR(MainTbl[[#This Row],[F_from_solvents]]/MainTbl[[#This Row],[TotalAtoms_all]],0)</f>
        <v>0</v>
      </c>
      <c r="AR97" s="2">
        <f>IFERROR(MainTbl[[#This Row],[F_from_salts]]/MainTbl[[#This Row],[TotalAtoms_all]],0)</f>
        <v>3.4933755955757401E-2</v>
      </c>
      <c r="AS97" s="2">
        <f>IFERROR(MainTbl[[#This Row],[F_total]]/MainTbl[[#This Row],[O_total]],0)</f>
        <v>0.21473939790650515</v>
      </c>
      <c r="AT97" s="2">
        <f>IFERROR(MainTbl[[#This Row],[F_total]]/MainTbl[[#This Row],[C_total]],0)</f>
        <v>0.14042620794908087</v>
      </c>
      <c r="AU97" s="2">
        <f>IFERROR(MainTbl[[#This Row],[O_total]]/MainTbl[[#This Row],[C_total]],0)</f>
        <v>0.65393779305565858</v>
      </c>
      <c r="AV97" s="2">
        <f>IFERROR((MainTbl[[#This Row],[TotalAtoms_all]]-(MainTbl[[#This Row],[C_total]]+MainTbl[[#This Row],[H_total]]+MainTbl[[#This Row],[Li_total]]))/MainTbl[[#This Row],[C_total]],0)</f>
        <v>0.86457710497927964</v>
      </c>
      <c r="AW97" t="str">
        <f>IFERROR(VLOOKUP(MainTbl[[#This Row],[salt_1_smiles]],SaltTbl[],MATCH("Salt",SaltTbl[#Headers],0),FALSE),"")</f>
        <v>LiTFSI</v>
      </c>
      <c r="AX97" t="str">
        <f>IFERROR(VLOOKUP(MainTbl[[#This Row],[salt_2_smiles]],SaltTbl[],MATCH("Salt",SaltTbl[#Headers],0),FALSE),"")</f>
        <v/>
      </c>
      <c r="AY97" t="str">
        <f>IFERROR(VLOOKUP(MainTbl[[#This Row],[solvent_1_smiles]],SolvTbl[],MATCH("Solvent",SolvTbl[#Headers],0),FALSE),"")</f>
        <v>DME (C4H10O2)</v>
      </c>
      <c r="AZ97" t="str">
        <f>IFERROR(VLOOKUP(MainTbl[[#This Row],[solvent_2_smiles]],SolvTbl[],MATCH("Solvent",SolvTbl[#Headers],0),FALSE),"")</f>
        <v>1,3-dioxolane (	C3H6O2)</v>
      </c>
      <c r="BA97" t="str">
        <f>IFERROR(VLOOKUP(MainTbl[[#This Row],[solvent_3_smiles]],SolvTbl[],MATCH("Solvent",SolvTbl[#Headers],0),FALSE),"")</f>
        <v/>
      </c>
      <c r="BB97">
        <f>--(MainTbl[[#This Row],[solv_1_ratio]]&gt;0)+--(MainTbl[[#This Row],[solv_2_ratio]]&gt;0)+--(MainTbl[[#This Row],[solv_3_ratio]]&gt;0)</f>
        <v>2</v>
      </c>
      <c r="BC97" t="str">
        <f>IF(AND(MainTbl[[#This Row],[SaltName1]]&lt;&gt;"",MainTbl[[#This Row],[salt_1_conc]]&gt;0),TEXT(MainTbl[[#This Row],[salt_1_conc]],"0.###")&amp;" M "&amp;MainTbl[[#This Row],[SaltName1]],"")</f>
        <v>1. M LiTFSI</v>
      </c>
      <c r="BD97" t="str">
        <f>IF(AND(MainTbl[[#This Row],[SaltName2]]&lt;&gt;"",MainTbl[[#This Row],[salt_2_conc]]&gt;0),TEXT(MainTbl[[#This Row],[salt_2_conc]],"0.###")&amp;" M "&amp;MainTbl[[#This Row],[SaltName2]],"")</f>
        <v/>
      </c>
      <c r="BE9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LiTFSI</v>
      </c>
      <c r="BF97" t="str">
        <f>IF(MainTbl[[#This Row],[SolvCount]]=1,MainTbl[[#This Row],[SolvName1]],IF(MainTbl[[#This Row],[solv_1_ratio]]&gt;0,MainTbl[[#This Row],[SolvName1]]&amp;" "&amp;TEXT(MainTbl[[#This Row],[solv_1_ratio]]*100,"0.##")&amp;"%",""))</f>
        <v>DME (C4H10O2) 50.%</v>
      </c>
      <c r="BG97" t="str">
        <f>IF(MainTbl[[#This Row],[SolvCount]]=1,MainTbl[[#This Row],[SolvName2]],IF(MainTbl[[#This Row],[solv_2_ratio]]&gt;0,MainTbl[[#This Row],[SolvName2]]&amp;" "&amp;TEXT(MainTbl[[#This Row],[solv_2_ratio]]*100,"0.##")&amp;"%",""))</f>
        <v>1,3-dioxolane (	C3H6O2) 50.%</v>
      </c>
      <c r="BH9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50.% + 1,3-dioxolane (	C3H6O2) 50.%</v>
      </c>
      <c r="BJ97" t="str">
        <f>TRIM(_xlfn.CONCAT(MainTbl[[#This Row],[Salt_text]]," ",MainTbl[[#This Row],[Solvent_text]]))</f>
        <v>1. M LiTFSI DME (C4H10O2) 50.% + 1,3-dioxolane (	C3H6O2) 50.%</v>
      </c>
    </row>
    <row r="98" spans="1:62" x14ac:dyDescent="0.25">
      <c r="A98" t="s">
        <v>18</v>
      </c>
      <c r="B98" t="s">
        <v>20</v>
      </c>
      <c r="D98" t="s">
        <v>23</v>
      </c>
      <c r="F98" t="s">
        <v>33</v>
      </c>
      <c r="G98">
        <v>0.5</v>
      </c>
      <c r="H98">
        <v>0.5</v>
      </c>
      <c r="I98">
        <v>0</v>
      </c>
      <c r="J98">
        <v>1</v>
      </c>
      <c r="K98">
        <v>0</v>
      </c>
      <c r="L98">
        <v>0.95799999999999996</v>
      </c>
      <c r="M98">
        <f t="shared" si="2"/>
        <v>95.8</v>
      </c>
      <c r="N98">
        <f t="shared" si="3"/>
        <v>1.3767507096020992</v>
      </c>
      <c r="O98">
        <f>IFERROR(MainTbl[[#This Row],[solv_1_ratio]]*VLOOKUP(MainTbl[[#This Row],[solvent_1_smiles]],SolvTbl[],13,FALSE),0)</f>
        <v>4.8158011540168655</v>
      </c>
      <c r="P98">
        <f>IFERROR(MainTbl[[#This Row],[solv_2_ratio]]*VLOOKUP(MainTbl[[#This Row],[solvent_2_smiles]],SolvTbl[],13,FALSE),0)</f>
        <v>7.1546208050973297</v>
      </c>
      <c r="Q98">
        <f>IFERROR(MainTbl[[#This Row],[solv_3_ratio]]*VLOOKUP(MainTbl[[#This Row],[solvent_3_smiles]],SolvTbl[],13,FALSE),0)</f>
        <v>0</v>
      </c>
      <c r="R98">
        <f>IFERROR(MainTbl[[#This Row],[salt_1_conc]],0)</f>
        <v>1</v>
      </c>
      <c r="S98">
        <f>IFERROR(MainTbl[[#This Row],[salt_2_conc]],0)</f>
        <v>0</v>
      </c>
      <c r="T9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23.940843918228389</v>
      </c>
      <c r="U9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98">
        <f>MainTbl[[#This Row],[O_from_solvents]]+MainTbl[[#This Row],[O_from_salts]]</f>
        <v>27.940843918228389</v>
      </c>
      <c r="W9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40.727067031359454</v>
      </c>
      <c r="X9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2</v>
      </c>
      <c r="Y98">
        <f>MainTbl[[#This Row],[C_from_solvents]]+MainTbl[[#This Row],[C_from_salts]]</f>
        <v>42.727067031359454</v>
      </c>
      <c r="Z9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9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98">
        <f>MainTbl[[#This Row],[F_from_solvents]]+MainTbl[[#This Row],[F_from_salts]]</f>
        <v>6</v>
      </c>
      <c r="AC9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91.085736370752642</v>
      </c>
      <c r="AD9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8">
        <f>MainTbl[[#This Row],[H_from_solvents]]+MainTbl[[#This Row],[H_from_salts]]</f>
        <v>91.085736370752642</v>
      </c>
      <c r="AF9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98">
        <f>MainTbl[[#This Row],[Li_from_solvents]]+MainTbl[[#This Row],[Li_from_salts]]</f>
        <v>1</v>
      </c>
      <c r="AI9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171.75364732034046</v>
      </c>
      <c r="AJ98" s="2">
        <f>IFERROR(MainTbl[[#This Row],[O_total]]/MainTbl[[#This Row],[TotalAtoms_all]],0)</f>
        <v>0.16267977043954981</v>
      </c>
      <c r="AK98" s="2">
        <f>IFERROR(MainTbl[[#This Row],[O_from_solvents]]/MainTbl[[#This Row],[TotalAtoms_all]],0)</f>
        <v>0.13939059980237822</v>
      </c>
      <c r="AL98" s="2">
        <f>IFERROR(MainTbl[[#This Row],[O_from_salts]]/MainTbl[[#This Row],[TotalAtoms_all]],0)</f>
        <v>2.3289170637171602E-2</v>
      </c>
      <c r="AM98" s="2">
        <f>IFERROR(MainTbl[[#This Row],[C_total]]/MainTbl[[#This Row],[TotalAtoms_all]],0)</f>
        <v>0.24876948872979984</v>
      </c>
      <c r="AN98" s="2">
        <f>IFERROR(MainTbl[[#This Row],[C_from_solvents]]/MainTbl[[#This Row],[TotalAtoms_all]],0)</f>
        <v>0.23712490341121403</v>
      </c>
      <c r="AO98" s="2">
        <f>IFERROR(MainTbl[[#This Row],[C_from_salts]]/MainTbl[[#This Row],[TotalAtoms_all]],0)</f>
        <v>1.1644585318585801E-2</v>
      </c>
      <c r="AP98" s="2">
        <f>IFERROR(MainTbl[[#This Row],[F_total]]/MainTbl[[#This Row],[TotalAtoms_all]],0)</f>
        <v>3.4933755955757401E-2</v>
      </c>
      <c r="AQ98" s="2">
        <f>IFERROR(MainTbl[[#This Row],[F_from_solvents]]/MainTbl[[#This Row],[TotalAtoms_all]],0)</f>
        <v>0</v>
      </c>
      <c r="AR98" s="2">
        <f>IFERROR(MainTbl[[#This Row],[F_from_salts]]/MainTbl[[#This Row],[TotalAtoms_all]],0)</f>
        <v>3.4933755955757401E-2</v>
      </c>
      <c r="AS98" s="2">
        <f>IFERROR(MainTbl[[#This Row],[F_total]]/MainTbl[[#This Row],[O_total]],0)</f>
        <v>0.21473939790650515</v>
      </c>
      <c r="AT98" s="2">
        <f>IFERROR(MainTbl[[#This Row],[F_total]]/MainTbl[[#This Row],[C_total]],0)</f>
        <v>0.14042620794908087</v>
      </c>
      <c r="AU98" s="2">
        <f>IFERROR(MainTbl[[#This Row],[O_total]]/MainTbl[[#This Row],[C_total]],0)</f>
        <v>0.65393779305565858</v>
      </c>
      <c r="AV98" s="2">
        <f>IFERROR((MainTbl[[#This Row],[TotalAtoms_all]]-(MainTbl[[#This Row],[C_total]]+MainTbl[[#This Row],[H_total]]+MainTbl[[#This Row],[Li_total]]))/MainTbl[[#This Row],[C_total]],0)</f>
        <v>0.86457710497927964</v>
      </c>
      <c r="AW98" t="str">
        <f>IFERROR(VLOOKUP(MainTbl[[#This Row],[salt_1_smiles]],SaltTbl[],MATCH("Salt",SaltTbl[#Headers],0),FALSE),"")</f>
        <v>LiTFSI</v>
      </c>
      <c r="AX98" t="str">
        <f>IFERROR(VLOOKUP(MainTbl[[#This Row],[salt_2_smiles]],SaltTbl[],MATCH("Salt",SaltTbl[#Headers],0),FALSE),"")</f>
        <v/>
      </c>
      <c r="AY98" t="str">
        <f>IFERROR(VLOOKUP(MainTbl[[#This Row],[solvent_1_smiles]],SolvTbl[],MATCH("Solvent",SolvTbl[#Headers],0),FALSE),"")</f>
        <v>DME (C4H10O2)</v>
      </c>
      <c r="AZ98" t="str">
        <f>IFERROR(VLOOKUP(MainTbl[[#This Row],[solvent_2_smiles]],SolvTbl[],MATCH("Solvent",SolvTbl[#Headers],0),FALSE),"")</f>
        <v>1,3-dioxolane (	C3H6O2)</v>
      </c>
      <c r="BA98" t="str">
        <f>IFERROR(VLOOKUP(MainTbl[[#This Row],[solvent_3_smiles]],SolvTbl[],MATCH("Solvent",SolvTbl[#Headers],0),FALSE),"")</f>
        <v/>
      </c>
      <c r="BB98">
        <f>--(MainTbl[[#This Row],[solv_1_ratio]]&gt;0)+--(MainTbl[[#This Row],[solv_2_ratio]]&gt;0)+--(MainTbl[[#This Row],[solv_3_ratio]]&gt;0)</f>
        <v>2</v>
      </c>
      <c r="BC98" t="str">
        <f>IF(AND(MainTbl[[#This Row],[SaltName1]]&lt;&gt;"",MainTbl[[#This Row],[salt_1_conc]]&gt;0),TEXT(MainTbl[[#This Row],[salt_1_conc]],"0.###")&amp;" M "&amp;MainTbl[[#This Row],[SaltName1]],"")</f>
        <v>1. M LiTFSI</v>
      </c>
      <c r="BD98" t="str">
        <f>IF(AND(MainTbl[[#This Row],[SaltName2]]&lt;&gt;"",MainTbl[[#This Row],[salt_2_conc]]&gt;0),TEXT(MainTbl[[#This Row],[salt_2_conc]],"0.###")&amp;" M "&amp;MainTbl[[#This Row],[SaltName2]],"")</f>
        <v/>
      </c>
      <c r="BE9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LiTFSI</v>
      </c>
      <c r="BF98" t="str">
        <f>IF(MainTbl[[#This Row],[SolvCount]]=1,MainTbl[[#This Row],[SolvName1]],IF(MainTbl[[#This Row],[solv_1_ratio]]&gt;0,MainTbl[[#This Row],[SolvName1]]&amp;" "&amp;TEXT(MainTbl[[#This Row],[solv_1_ratio]]*100,"0.##")&amp;"%",""))</f>
        <v>DME (C4H10O2) 50.%</v>
      </c>
      <c r="BG98" t="str">
        <f>IF(MainTbl[[#This Row],[SolvCount]]=1,MainTbl[[#This Row],[SolvName2]],IF(MainTbl[[#This Row],[solv_2_ratio]]&gt;0,MainTbl[[#This Row],[SolvName2]]&amp;" "&amp;TEXT(MainTbl[[#This Row],[solv_2_ratio]]*100,"0.##")&amp;"%",""))</f>
        <v>1,3-dioxolane (	C3H6O2) 50.%</v>
      </c>
      <c r="BH9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50.% + 1,3-dioxolane (	C3H6O2) 50.%</v>
      </c>
      <c r="BJ98" t="str">
        <f>TRIM(_xlfn.CONCAT(MainTbl[[#This Row],[Salt_text]]," ",MainTbl[[#This Row],[Solvent_text]]))</f>
        <v>1. M LiTFSI DME (C4H10O2) 50.% + 1,3-dioxolane (	C3H6O2) 50.%</v>
      </c>
    </row>
    <row r="99" spans="1:62" x14ac:dyDescent="0.25">
      <c r="A99" t="s">
        <v>19</v>
      </c>
      <c r="B99" t="s">
        <v>38</v>
      </c>
      <c r="D99" t="s">
        <v>29</v>
      </c>
      <c r="F99" t="s">
        <v>24</v>
      </c>
      <c r="G99">
        <v>0.5</v>
      </c>
      <c r="H99">
        <v>0.5</v>
      </c>
      <c r="I99">
        <v>0</v>
      </c>
      <c r="J99">
        <v>1</v>
      </c>
      <c r="K99">
        <v>0</v>
      </c>
      <c r="L99">
        <v>0.96699999999999997</v>
      </c>
      <c r="M99">
        <f t="shared" si="2"/>
        <v>96.7</v>
      </c>
      <c r="N99">
        <f t="shared" si="3"/>
        <v>1.481486060122112</v>
      </c>
      <c r="O99">
        <f>IFERROR(MainTbl[[#This Row],[solv_1_ratio]]*VLOOKUP(MainTbl[[#This Row],[solvent_1_smiles]],SolvTbl[],13,FALSE),0)</f>
        <v>7.4947196293520486</v>
      </c>
      <c r="P99">
        <f>IFERROR(MainTbl[[#This Row],[solv_2_ratio]]*VLOOKUP(MainTbl[[#This Row],[solvent_2_smiles]],SolvTbl[],13,FALSE),0)</f>
        <v>4.8317067547836778</v>
      </c>
      <c r="Q99">
        <f>IFERROR(MainTbl[[#This Row],[solv_3_ratio]]*VLOOKUP(MainTbl[[#This Row],[solvent_3_smiles]],SolvTbl[],13,FALSE),0)</f>
        <v>0</v>
      </c>
      <c r="R99">
        <f>IFERROR(MainTbl[[#This Row],[salt_1_conc]],0)</f>
        <v>1</v>
      </c>
      <c r="S99">
        <f>IFERROR(MainTbl[[#This Row],[salt_2_conc]],0)</f>
        <v>0</v>
      </c>
      <c r="T9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36.97927915240718</v>
      </c>
      <c r="U9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99">
        <f>MainTbl[[#This Row],[O_from_solvents]]+MainTbl[[#This Row],[O_from_salts]]</f>
        <v>36.97927915240718</v>
      </c>
      <c r="W9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41.810985907190855</v>
      </c>
      <c r="X9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99">
        <f>MainTbl[[#This Row],[C_from_solvents]]+MainTbl[[#This Row],[C_from_salts]]</f>
        <v>41.810985907190855</v>
      </c>
      <c r="Z9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9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99">
        <f>MainTbl[[#This Row],[F_from_solvents]]+MainTbl[[#This Row],[F_from_salts]]</f>
        <v>6</v>
      </c>
      <c r="AC9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68.632532555677614</v>
      </c>
      <c r="AD9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99">
        <f>MainTbl[[#This Row],[H_from_solvents]]+MainTbl[[#This Row],[H_from_salts]]</f>
        <v>68.632532555677614</v>
      </c>
      <c r="AF9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9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99">
        <f>MainTbl[[#This Row],[Li_from_solvents]]+MainTbl[[#This Row],[Li_from_salts]]</f>
        <v>1</v>
      </c>
      <c r="AI9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155.42279761527567</v>
      </c>
      <c r="AJ99" s="2">
        <f>IFERROR(MainTbl[[#This Row],[O_total]]/MainTbl[[#This Row],[TotalAtoms_all]],0)</f>
        <v>0.23792699475107559</v>
      </c>
      <c r="AK99" s="2">
        <f>IFERROR(MainTbl[[#This Row],[O_from_solvents]]/MainTbl[[#This Row],[TotalAtoms_all]],0)</f>
        <v>0.23792699475107559</v>
      </c>
      <c r="AL99" s="2">
        <f>IFERROR(MainTbl[[#This Row],[O_from_salts]]/MainTbl[[#This Row],[TotalAtoms_all]],0)</f>
        <v>0</v>
      </c>
      <c r="AM99" s="2">
        <f>IFERROR(MainTbl[[#This Row],[C_total]]/MainTbl[[#This Row],[TotalAtoms_all]],0)</f>
        <v>0.26901449818634249</v>
      </c>
      <c r="AN99" s="2">
        <f>IFERROR(MainTbl[[#This Row],[C_from_solvents]]/MainTbl[[#This Row],[TotalAtoms_all]],0)</f>
        <v>0.26901449818634249</v>
      </c>
      <c r="AO99" s="2">
        <f>IFERROR(MainTbl[[#This Row],[C_from_salts]]/MainTbl[[#This Row],[TotalAtoms_all]],0)</f>
        <v>0</v>
      </c>
      <c r="AP99" s="2">
        <f>IFERROR(MainTbl[[#This Row],[F_total]]/MainTbl[[#This Row],[TotalAtoms_all]],0)</f>
        <v>3.8604375240059968E-2</v>
      </c>
      <c r="AQ99" s="2">
        <f>IFERROR(MainTbl[[#This Row],[F_from_solvents]]/MainTbl[[#This Row],[TotalAtoms_all]],0)</f>
        <v>0</v>
      </c>
      <c r="AR99" s="2">
        <f>IFERROR(MainTbl[[#This Row],[F_from_salts]]/MainTbl[[#This Row],[TotalAtoms_all]],0)</f>
        <v>3.8604375240059968E-2</v>
      </c>
      <c r="AS99" s="2">
        <f>IFERROR(MainTbl[[#This Row],[F_total]]/MainTbl[[#This Row],[O_total]],0)</f>
        <v>0.16225302757448229</v>
      </c>
      <c r="AT99" s="2">
        <f>IFERROR(MainTbl[[#This Row],[F_total]]/MainTbl[[#This Row],[C_total]],0)</f>
        <v>0.14350295430292859</v>
      </c>
      <c r="AU99" s="2">
        <f>IFERROR(MainTbl[[#This Row],[O_total]]/MainTbl[[#This Row],[C_total]],0)</f>
        <v>0.88443930106052115</v>
      </c>
      <c r="AV99" s="2">
        <f>IFERROR((MainTbl[[#This Row],[TotalAtoms_all]]-(MainTbl[[#This Row],[C_total]]+MainTbl[[#This Row],[H_total]]+MainTbl[[#This Row],[Li_total]]))/MainTbl[[#This Row],[C_total]],0)</f>
        <v>1.0518594144139384</v>
      </c>
      <c r="AW99" t="str">
        <f>IFERROR(VLOOKUP(MainTbl[[#This Row],[salt_1_smiles]],SaltTbl[],MATCH("Salt",SaltTbl[#Headers],0),FALSE),"")</f>
        <v>LiPF6</v>
      </c>
      <c r="AX99" t="str">
        <f>IFERROR(VLOOKUP(MainTbl[[#This Row],[salt_2_smiles]],SaltTbl[],MATCH("Salt",SaltTbl[#Headers],0),FALSE),"")</f>
        <v/>
      </c>
      <c r="AY99" t="str">
        <f>IFERROR(VLOOKUP(MainTbl[[#This Row],[solvent_1_smiles]],SolvTbl[],MATCH("Solvent",SolvTbl[#Headers],0),FALSE),"")</f>
        <v>Ethylene carbonate</v>
      </c>
      <c r="AZ99" t="str">
        <f>IFERROR(VLOOKUP(MainTbl[[#This Row],[solvent_2_smiles]],SolvTbl[],MATCH("Solvent",SolvTbl[#Headers],0),FALSE),"")</f>
        <v>EMC (C4H8O3)</v>
      </c>
      <c r="BA99" t="str">
        <f>IFERROR(VLOOKUP(MainTbl[[#This Row],[solvent_3_smiles]],SolvTbl[],MATCH("Solvent",SolvTbl[#Headers],0),FALSE),"")</f>
        <v/>
      </c>
      <c r="BB99">
        <f>--(MainTbl[[#This Row],[solv_1_ratio]]&gt;0)+--(MainTbl[[#This Row],[solv_2_ratio]]&gt;0)+--(MainTbl[[#This Row],[solv_3_ratio]]&gt;0)</f>
        <v>2</v>
      </c>
      <c r="BC99" t="str">
        <f>IF(AND(MainTbl[[#This Row],[SaltName1]]&lt;&gt;"",MainTbl[[#This Row],[salt_1_conc]]&gt;0),TEXT(MainTbl[[#This Row],[salt_1_conc]],"0.###")&amp;" M "&amp;MainTbl[[#This Row],[SaltName1]],"")</f>
        <v>1. M LiPF6</v>
      </c>
      <c r="BD99" t="str">
        <f>IF(AND(MainTbl[[#This Row],[SaltName2]]&lt;&gt;"",MainTbl[[#This Row],[salt_2_conc]]&gt;0),TEXT(MainTbl[[#This Row],[salt_2_conc]],"0.###")&amp;" M "&amp;MainTbl[[#This Row],[SaltName2]],"")</f>
        <v/>
      </c>
      <c r="BE9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99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99" t="str">
        <f>IF(MainTbl[[#This Row],[SolvCount]]=1,MainTbl[[#This Row],[SolvName2]],IF(MainTbl[[#This Row],[solv_2_ratio]]&gt;0,MainTbl[[#This Row],[SolvName2]]&amp;" "&amp;TEXT(MainTbl[[#This Row],[solv_2_ratio]]*100,"0.##")&amp;"%",""))</f>
        <v>EMC (C4H8O3) 50.%</v>
      </c>
      <c r="BH9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9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EMC (C4H8O3) 50.%</v>
      </c>
      <c r="BJ99" t="str">
        <f>TRIM(_xlfn.CONCAT(MainTbl[[#This Row],[Salt_text]]," ",MainTbl[[#This Row],[Solvent_text]]))</f>
        <v>1. M LiPF6 Ethylene carbonate 50.% + EMC (C4H8O3) 50.%</v>
      </c>
    </row>
    <row r="100" spans="1:62" x14ac:dyDescent="0.25">
      <c r="A100" t="s">
        <v>19</v>
      </c>
      <c r="B100" t="s">
        <v>57</v>
      </c>
      <c r="D100" t="s">
        <v>22</v>
      </c>
      <c r="G100">
        <v>0.3</v>
      </c>
      <c r="H100">
        <v>0.7</v>
      </c>
      <c r="I100">
        <v>0</v>
      </c>
      <c r="J100">
        <v>1</v>
      </c>
      <c r="K100">
        <v>0</v>
      </c>
      <c r="L100">
        <v>0.97499999999999998</v>
      </c>
      <c r="M100">
        <f t="shared" si="2"/>
        <v>97.5</v>
      </c>
      <c r="N100">
        <f t="shared" si="3"/>
        <v>1.6020599913279621</v>
      </c>
      <c r="O100">
        <f>IFERROR(MainTbl[[#This Row],[solv_1_ratio]]*VLOOKUP(MainTbl[[#This Row],[solvent_1_smiles]],SolvTbl[],13,FALSE),0)</f>
        <v>4.496831777611229</v>
      </c>
      <c r="P100">
        <f>IFERROR(MainTbl[[#This Row],[solv_2_ratio]]*VLOOKUP(MainTbl[[#This Row],[solvent_2_smiles]],SolvTbl[],13,FALSE),0)</f>
        <v>5.1247487013817068</v>
      </c>
      <c r="Q100">
        <f>IFERROR(MainTbl[[#This Row],[solv_3_ratio]]*VLOOKUP(MainTbl[[#This Row],[solvent_3_smiles]],SolvTbl[],13,FALSE),0)</f>
        <v>0</v>
      </c>
      <c r="R100">
        <f>IFERROR(MainTbl[[#This Row],[salt_1_conc]],0)</f>
        <v>1</v>
      </c>
      <c r="S100">
        <f>IFERROR(MainTbl[[#This Row],[salt_2_conc]],0)</f>
        <v>0</v>
      </c>
      <c r="T10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28.864741436978807</v>
      </c>
      <c r="U10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00">
        <f>MainTbl[[#This Row],[O_from_solvents]]+MainTbl[[#This Row],[O_from_salts]]</f>
        <v>32.864741436978804</v>
      </c>
      <c r="W10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39.114238839742221</v>
      </c>
      <c r="X10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0">
        <f>MainTbl[[#This Row],[C_from_solvents]]+MainTbl[[#This Row],[C_from_salts]]</f>
        <v>39.114238839742221</v>
      </c>
      <c r="Z10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15.37424610414512</v>
      </c>
      <c r="AA10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100">
        <f>MainTbl[[#This Row],[F_from_solvents]]+MainTbl[[#This Row],[F_from_salts]]</f>
        <v>17.374246104145122</v>
      </c>
      <c r="AC10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53.860568020116865</v>
      </c>
      <c r="AD10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0">
        <f>MainTbl[[#This Row],[H_from_solvents]]+MainTbl[[#This Row],[H_from_salts]]</f>
        <v>53.860568020116865</v>
      </c>
      <c r="AF10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00">
        <f>MainTbl[[#This Row],[Li_from_solvents]]+MainTbl[[#This Row],[Li_from_salts]]</f>
        <v>1</v>
      </c>
      <c r="AI10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147.21379440098301</v>
      </c>
      <c r="AJ100" s="2">
        <f>IFERROR(MainTbl[[#This Row],[O_total]]/MainTbl[[#This Row],[TotalAtoms_all]],0)</f>
        <v>0.2232449857753232</v>
      </c>
      <c r="AK100" s="2">
        <f>IFERROR(MainTbl[[#This Row],[O_from_solvents]]/MainTbl[[#This Row],[TotalAtoms_all]],0)</f>
        <v>0.19607361901396697</v>
      </c>
      <c r="AL100" s="2">
        <f>IFERROR(MainTbl[[#This Row],[O_from_salts]]/MainTbl[[#This Row],[TotalAtoms_all]],0)</f>
        <v>2.7171366761356234E-2</v>
      </c>
      <c r="AM100" s="2">
        <f>IFERROR(MainTbl[[#This Row],[C_total]]/MainTbl[[#This Row],[TotalAtoms_all]],0)</f>
        <v>0.26569683227648022</v>
      </c>
      <c r="AN100" s="2">
        <f>IFERROR(MainTbl[[#This Row],[C_from_solvents]]/MainTbl[[#This Row],[TotalAtoms_all]],0)</f>
        <v>0.26569683227648022</v>
      </c>
      <c r="AO100" s="2">
        <f>IFERROR(MainTbl[[#This Row],[C_from_salts]]/MainTbl[[#This Row],[TotalAtoms_all]],0)</f>
        <v>0</v>
      </c>
      <c r="AP100" s="2">
        <f>IFERROR(MainTbl[[#This Row],[F_total]]/MainTbl[[#This Row],[TotalAtoms_all]],0)</f>
        <v>0.11802050327444795</v>
      </c>
      <c r="AQ100" s="2">
        <f>IFERROR(MainTbl[[#This Row],[F_from_solvents]]/MainTbl[[#This Row],[TotalAtoms_all]],0)</f>
        <v>0.10443481989376982</v>
      </c>
      <c r="AR100" s="2">
        <f>IFERROR(MainTbl[[#This Row],[F_from_salts]]/MainTbl[[#This Row],[TotalAtoms_all]],0)</f>
        <v>1.3585683380678117E-2</v>
      </c>
      <c r="AS100" s="2">
        <f>IFERROR(MainTbl[[#This Row],[F_total]]/MainTbl[[#This Row],[O_total]],0)</f>
        <v>0.52865914486081855</v>
      </c>
      <c r="AT100" s="2">
        <f>IFERROR(MainTbl[[#This Row],[F_total]]/MainTbl[[#This Row],[C_total]],0)</f>
        <v>0.4441923611329982</v>
      </c>
      <c r="AU100" s="2">
        <f>IFERROR(MainTbl[[#This Row],[O_total]]/MainTbl[[#This Row],[C_total]],0)</f>
        <v>0.84022449143472577</v>
      </c>
      <c r="AV100" s="2">
        <f>IFERROR((MainTbl[[#This Row],[TotalAtoms_all]]-(MainTbl[[#This Row],[C_total]]+MainTbl[[#This Row],[H_total]]+MainTbl[[#This Row],[Li_total]]))/MainTbl[[#This Row],[C_total]],0)</f>
        <v>1.3611152644246314</v>
      </c>
      <c r="AW100" t="str">
        <f>IFERROR(VLOOKUP(MainTbl[[#This Row],[salt_1_smiles]],SaltTbl[],MATCH("Salt",SaltTbl[#Headers],0),FALSE),"")</f>
        <v>LiFSI</v>
      </c>
      <c r="AX100" t="str">
        <f>IFERROR(VLOOKUP(MainTbl[[#This Row],[salt_2_smiles]],SaltTbl[],MATCH("Salt",SaltTbl[#Headers],0),FALSE),"")</f>
        <v/>
      </c>
      <c r="AY100" t="str">
        <f>IFERROR(VLOOKUP(MainTbl[[#This Row],[solvent_1_smiles]],SolvTbl[],MATCH("Solvent",SolvTbl[#Headers],0),FALSE),"")</f>
        <v>Ethylene carbonate</v>
      </c>
      <c r="AZ100" t="str">
        <f>IFERROR(VLOOKUP(MainTbl[[#This Row],[solvent_2_smiles]],SolvTbl[],MATCH("Solvent",SolvTbl[#Headers],0),FALSE),"")</f>
        <v>Ethyl 2,2,2-trifluoroethyl carbonate</v>
      </c>
      <c r="BA100" t="str">
        <f>IFERROR(VLOOKUP(MainTbl[[#This Row],[solvent_3_smiles]],SolvTbl[],MATCH("Solvent",SolvTbl[#Headers],0),FALSE),"")</f>
        <v/>
      </c>
      <c r="BB100">
        <f>--(MainTbl[[#This Row],[solv_1_ratio]]&gt;0)+--(MainTbl[[#This Row],[solv_2_ratio]]&gt;0)+--(MainTbl[[#This Row],[solv_3_ratio]]&gt;0)</f>
        <v>2</v>
      </c>
      <c r="BC100" t="str">
        <f>IF(AND(MainTbl[[#This Row],[SaltName1]]&lt;&gt;"",MainTbl[[#This Row],[salt_1_conc]]&gt;0),TEXT(MainTbl[[#This Row],[salt_1_conc]],"0.###")&amp;" M "&amp;MainTbl[[#This Row],[SaltName1]],"")</f>
        <v>1. M LiFSI</v>
      </c>
      <c r="BD100" t="str">
        <f>IF(AND(MainTbl[[#This Row],[SaltName2]]&lt;&gt;"",MainTbl[[#This Row],[salt_2_conc]]&gt;0),TEXT(MainTbl[[#This Row],[salt_2_conc]],"0.###")&amp;" M "&amp;MainTbl[[#This Row],[SaltName2]],"")</f>
        <v/>
      </c>
      <c r="BE10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100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30.%</v>
      </c>
      <c r="BG100" t="str">
        <f>IF(MainTbl[[#This Row],[SolvCount]]=1,MainTbl[[#This Row],[SolvName2]],IF(MainTbl[[#This Row],[solv_2_ratio]]&gt;0,MainTbl[[#This Row],[SolvName2]]&amp;" "&amp;TEXT(MainTbl[[#This Row],[solv_2_ratio]]*100,"0.##")&amp;"%",""))</f>
        <v>Ethyl 2,2,2-trifluoroethyl carbonate 70.%</v>
      </c>
      <c r="BH10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30.% + Ethyl 2,2,2-trifluoroethyl carbonate 70.%</v>
      </c>
      <c r="BJ100" t="str">
        <f>TRIM(_xlfn.CONCAT(MainTbl[[#This Row],[Salt_text]]," ",MainTbl[[#This Row],[Solvent_text]]))</f>
        <v>1. M LiFSI Ethylene carbonate 30.% + Ethyl 2,2,2-trifluoroethyl carbonate 70.%</v>
      </c>
    </row>
    <row r="101" spans="1:62" x14ac:dyDescent="0.25">
      <c r="A101" t="s">
        <v>19</v>
      </c>
      <c r="B101" t="s">
        <v>57</v>
      </c>
      <c r="D101" t="s">
        <v>22</v>
      </c>
      <c r="G101">
        <v>0.3</v>
      </c>
      <c r="H101">
        <v>0.7</v>
      </c>
      <c r="I101">
        <v>0</v>
      </c>
      <c r="J101">
        <v>5</v>
      </c>
      <c r="K101">
        <v>0</v>
      </c>
      <c r="L101">
        <v>0.99099999999999999</v>
      </c>
      <c r="M101">
        <f t="shared" si="2"/>
        <v>99.1</v>
      </c>
      <c r="N101">
        <f t="shared" si="3"/>
        <v>2.0457574905606748</v>
      </c>
      <c r="O101">
        <f>IFERROR(MainTbl[[#This Row],[solv_1_ratio]]*VLOOKUP(MainTbl[[#This Row],[solvent_1_smiles]],SolvTbl[],13,FALSE),0)</f>
        <v>4.496831777611229</v>
      </c>
      <c r="P101">
        <f>IFERROR(MainTbl[[#This Row],[solv_2_ratio]]*VLOOKUP(MainTbl[[#This Row],[solvent_2_smiles]],SolvTbl[],13,FALSE),0)</f>
        <v>5.1247487013817068</v>
      </c>
      <c r="Q101">
        <f>IFERROR(MainTbl[[#This Row],[solv_3_ratio]]*VLOOKUP(MainTbl[[#This Row],[solvent_3_smiles]],SolvTbl[],13,FALSE),0)</f>
        <v>0</v>
      </c>
      <c r="R101">
        <f>IFERROR(MainTbl[[#This Row],[salt_1_conc]],0)</f>
        <v>5</v>
      </c>
      <c r="S101">
        <f>IFERROR(MainTbl[[#This Row],[salt_2_conc]],0)</f>
        <v>0</v>
      </c>
      <c r="T10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28.864741436978807</v>
      </c>
      <c r="U10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20</v>
      </c>
      <c r="V101">
        <f>MainTbl[[#This Row],[O_from_solvents]]+MainTbl[[#This Row],[O_from_salts]]</f>
        <v>48.864741436978804</v>
      </c>
      <c r="W10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39.114238839742221</v>
      </c>
      <c r="X10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1">
        <f>MainTbl[[#This Row],[C_from_solvents]]+MainTbl[[#This Row],[C_from_salts]]</f>
        <v>39.114238839742221</v>
      </c>
      <c r="Z10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15.37424610414512</v>
      </c>
      <c r="AA10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10</v>
      </c>
      <c r="AB101">
        <f>MainTbl[[#This Row],[F_from_solvents]]+MainTbl[[#This Row],[F_from_salts]]</f>
        <v>25.374246104145122</v>
      </c>
      <c r="AC10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53.860568020116865</v>
      </c>
      <c r="AD10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1">
        <f>MainTbl[[#This Row],[H_from_solvents]]+MainTbl[[#This Row],[H_from_salts]]</f>
        <v>53.860568020116865</v>
      </c>
      <c r="AF10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5</v>
      </c>
      <c r="AH101">
        <f>MainTbl[[#This Row],[Li_from_solvents]]+MainTbl[[#This Row],[Li_from_salts]]</f>
        <v>5</v>
      </c>
      <c r="AI10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187.21379440098301</v>
      </c>
      <c r="AJ101" s="2">
        <f>IFERROR(MainTbl[[#This Row],[O_total]]/MainTbl[[#This Row],[TotalAtoms_all]],0)</f>
        <v>0.26101036835094577</v>
      </c>
      <c r="AK101" s="2">
        <f>IFERROR(MainTbl[[#This Row],[O_from_solvents]]/MainTbl[[#This Row],[TotalAtoms_all]],0)</f>
        <v>0.15418063358704751</v>
      </c>
      <c r="AL101" s="2">
        <f>IFERROR(MainTbl[[#This Row],[O_from_salts]]/MainTbl[[#This Row],[TotalAtoms_all]],0)</f>
        <v>0.10682973476389829</v>
      </c>
      <c r="AM101" s="2">
        <f>IFERROR(MainTbl[[#This Row],[C_total]]/MainTbl[[#This Row],[TotalAtoms_all]],0)</f>
        <v>0.2089281880370715</v>
      </c>
      <c r="AN101" s="2">
        <f>IFERROR(MainTbl[[#This Row],[C_from_solvents]]/MainTbl[[#This Row],[TotalAtoms_all]],0)</f>
        <v>0.2089281880370715</v>
      </c>
      <c r="AO101" s="2">
        <f>IFERROR(MainTbl[[#This Row],[C_from_salts]]/MainTbl[[#This Row],[TotalAtoms_all]],0)</f>
        <v>0</v>
      </c>
      <c r="AP101" s="2">
        <f>IFERROR(MainTbl[[#This Row],[F_total]]/MainTbl[[#This Row],[TotalAtoms_all]],0)</f>
        <v>0.13553619905698513</v>
      </c>
      <c r="AQ101" s="2">
        <f>IFERROR(MainTbl[[#This Row],[F_from_solvents]]/MainTbl[[#This Row],[TotalAtoms_all]],0)</f>
        <v>8.2121331675035991E-2</v>
      </c>
      <c r="AR101" s="2">
        <f>IFERROR(MainTbl[[#This Row],[F_from_salts]]/MainTbl[[#This Row],[TotalAtoms_all]],0)</f>
        <v>5.3414867381949144E-2</v>
      </c>
      <c r="AS101" s="2">
        <f>IFERROR(MainTbl[[#This Row],[F_total]]/MainTbl[[#This Row],[O_total]],0)</f>
        <v>0.51927515337148489</v>
      </c>
      <c r="AT101" s="2">
        <f>IFERROR(MainTbl[[#This Row],[F_total]]/MainTbl[[#This Row],[C_total]],0)</f>
        <v>0.64872145941808512</v>
      </c>
      <c r="AU101" s="2">
        <f>IFERROR(MainTbl[[#This Row],[O_total]]/MainTbl[[#This Row],[C_total]],0)</f>
        <v>1.2492826880048995</v>
      </c>
      <c r="AV101" s="2">
        <f>IFERROR((MainTbl[[#This Row],[TotalAtoms_all]]-(MainTbl[[#This Row],[C_total]]+MainTbl[[#This Row],[H_total]]+MainTbl[[#This Row],[Li_total]]))/MainTbl[[#This Row],[C_total]],0)</f>
        <v>2.2814962067075224</v>
      </c>
      <c r="AW101" t="str">
        <f>IFERROR(VLOOKUP(MainTbl[[#This Row],[salt_1_smiles]],SaltTbl[],MATCH("Salt",SaltTbl[#Headers],0),FALSE),"")</f>
        <v>LiFSI</v>
      </c>
      <c r="AX101" t="str">
        <f>IFERROR(VLOOKUP(MainTbl[[#This Row],[salt_2_smiles]],SaltTbl[],MATCH("Salt",SaltTbl[#Headers],0),FALSE),"")</f>
        <v/>
      </c>
      <c r="AY101" t="str">
        <f>IFERROR(VLOOKUP(MainTbl[[#This Row],[solvent_1_smiles]],SolvTbl[],MATCH("Solvent",SolvTbl[#Headers],0),FALSE),"")</f>
        <v>Ethylene carbonate</v>
      </c>
      <c r="AZ101" t="str">
        <f>IFERROR(VLOOKUP(MainTbl[[#This Row],[solvent_2_smiles]],SolvTbl[],MATCH("Solvent",SolvTbl[#Headers],0),FALSE),"")</f>
        <v>Ethyl 2,2,2-trifluoroethyl carbonate</v>
      </c>
      <c r="BA101" t="str">
        <f>IFERROR(VLOOKUP(MainTbl[[#This Row],[solvent_3_smiles]],SolvTbl[],MATCH("Solvent",SolvTbl[#Headers],0),FALSE),"")</f>
        <v/>
      </c>
      <c r="BB101">
        <f>--(MainTbl[[#This Row],[solv_1_ratio]]&gt;0)+--(MainTbl[[#This Row],[solv_2_ratio]]&gt;0)+--(MainTbl[[#This Row],[solv_3_ratio]]&gt;0)</f>
        <v>2</v>
      </c>
      <c r="BC101" t="str">
        <f>IF(AND(MainTbl[[#This Row],[SaltName1]]&lt;&gt;"",MainTbl[[#This Row],[salt_1_conc]]&gt;0),TEXT(MainTbl[[#This Row],[salt_1_conc]],"0.###")&amp;" M "&amp;MainTbl[[#This Row],[SaltName1]],"")</f>
        <v>5. M LiFSI</v>
      </c>
      <c r="BD101" t="str">
        <f>IF(AND(MainTbl[[#This Row],[SaltName2]]&lt;&gt;"",MainTbl[[#This Row],[salt_2_conc]]&gt;0),TEXT(MainTbl[[#This Row],[salt_2_conc]],"0.###")&amp;" M "&amp;MainTbl[[#This Row],[SaltName2]],"")</f>
        <v/>
      </c>
      <c r="BE10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5. M LiFSI</v>
      </c>
      <c r="BF101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30.%</v>
      </c>
      <c r="BG101" t="str">
        <f>IF(MainTbl[[#This Row],[SolvCount]]=1,MainTbl[[#This Row],[SolvName2]],IF(MainTbl[[#This Row],[solv_2_ratio]]&gt;0,MainTbl[[#This Row],[SolvName2]]&amp;" "&amp;TEXT(MainTbl[[#This Row],[solv_2_ratio]]*100,"0.##")&amp;"%",""))</f>
        <v>Ethyl 2,2,2-trifluoroethyl carbonate 70.%</v>
      </c>
      <c r="BH10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30.% + Ethyl 2,2,2-trifluoroethyl carbonate 70.%</v>
      </c>
      <c r="BJ101" t="str">
        <f>TRIM(_xlfn.CONCAT(MainTbl[[#This Row],[Salt_text]]," ",MainTbl[[#This Row],[Solvent_text]]))</f>
        <v>5. M LiFSI Ethylene carbonate 30.% + Ethyl 2,2,2-trifluoroethyl carbonate 70.%</v>
      </c>
    </row>
    <row r="102" spans="1:62" x14ac:dyDescent="0.25">
      <c r="A102" t="s">
        <v>19</v>
      </c>
      <c r="B102" t="s">
        <v>28</v>
      </c>
      <c r="D102" t="s">
        <v>22</v>
      </c>
      <c r="G102">
        <v>0.3</v>
      </c>
      <c r="H102">
        <v>0.7</v>
      </c>
      <c r="I102">
        <v>0</v>
      </c>
      <c r="J102">
        <v>1</v>
      </c>
      <c r="K102">
        <v>0</v>
      </c>
      <c r="L102">
        <v>0.93899999999999995</v>
      </c>
      <c r="M102">
        <f t="shared" si="2"/>
        <v>93.899999999999991</v>
      </c>
      <c r="N102">
        <f t="shared" si="3"/>
        <v>1.2146701649892326</v>
      </c>
      <c r="O102">
        <f>IFERROR(MainTbl[[#This Row],[solv_1_ratio]]*VLOOKUP(MainTbl[[#This Row],[solvent_1_smiles]],SolvTbl[],13,FALSE),0)</f>
        <v>4.496831777611229</v>
      </c>
      <c r="P102">
        <f>IFERROR(MainTbl[[#This Row],[solv_2_ratio]]*VLOOKUP(MainTbl[[#This Row],[solvent_2_smiles]],SolvTbl[],13,FALSE),0)</f>
        <v>5.7775332261068311</v>
      </c>
      <c r="Q102">
        <f>IFERROR(MainTbl[[#This Row],[solv_3_ratio]]*VLOOKUP(MainTbl[[#This Row],[solvent_3_smiles]],SolvTbl[],13,FALSE),0)</f>
        <v>0</v>
      </c>
      <c r="R102">
        <f>IFERROR(MainTbl[[#This Row],[salt_1_conc]],0)</f>
        <v>1</v>
      </c>
      <c r="S102">
        <f>IFERROR(MainTbl[[#This Row],[salt_2_conc]],0)</f>
        <v>0</v>
      </c>
      <c r="T10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30.82309501115418</v>
      </c>
      <c r="U10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02">
        <f>MainTbl[[#This Row],[O_from_solvents]]+MainTbl[[#This Row],[O_from_salts]]</f>
        <v>34.82309501115418</v>
      </c>
      <c r="W10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42.378161463367846</v>
      </c>
      <c r="X10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2">
        <f>MainTbl[[#This Row],[C_from_solvents]]+MainTbl[[#This Row],[C_from_salts]]</f>
        <v>42.378161463367846</v>
      </c>
      <c r="Z10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0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102">
        <f>MainTbl[[#This Row],[F_from_solvents]]+MainTbl[[#This Row],[F_from_salts]]</f>
        <v>2</v>
      </c>
      <c r="AC10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75.762659371513223</v>
      </c>
      <c r="AD10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2">
        <f>MainTbl[[#This Row],[H_from_solvents]]+MainTbl[[#This Row],[H_from_salts]]</f>
        <v>75.762659371513223</v>
      </c>
      <c r="AF10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02">
        <f>MainTbl[[#This Row],[Li_from_solvents]]+MainTbl[[#This Row],[Li_from_salts]]</f>
        <v>1</v>
      </c>
      <c r="AI10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158.96391584603526</v>
      </c>
      <c r="AJ102" s="2">
        <f>IFERROR(MainTbl[[#This Row],[O_total]]/MainTbl[[#This Row],[TotalAtoms_all]],0)</f>
        <v>0.21906289125943615</v>
      </c>
      <c r="AK102" s="2">
        <f>IFERROR(MainTbl[[#This Row],[O_from_solvents]]/MainTbl[[#This Row],[TotalAtoms_all]],0)</f>
        <v>0.19389994796685767</v>
      </c>
      <c r="AL102" s="2">
        <f>IFERROR(MainTbl[[#This Row],[O_from_salts]]/MainTbl[[#This Row],[TotalAtoms_all]],0)</f>
        <v>2.5162943292578462E-2</v>
      </c>
      <c r="AM102" s="2">
        <f>IFERROR(MainTbl[[#This Row],[C_total]]/MainTbl[[#This Row],[TotalAtoms_all]],0)</f>
        <v>0.26658981843661472</v>
      </c>
      <c r="AN102" s="2">
        <f>IFERROR(MainTbl[[#This Row],[C_from_solvents]]/MainTbl[[#This Row],[TotalAtoms_all]],0)</f>
        <v>0.26658981843661472</v>
      </c>
      <c r="AO102" s="2">
        <f>IFERROR(MainTbl[[#This Row],[C_from_salts]]/MainTbl[[#This Row],[TotalAtoms_all]],0)</f>
        <v>0</v>
      </c>
      <c r="AP102" s="2">
        <f>IFERROR(MainTbl[[#This Row],[F_total]]/MainTbl[[#This Row],[TotalAtoms_all]],0)</f>
        <v>1.2581471646289231E-2</v>
      </c>
      <c r="AQ102" s="2">
        <f>IFERROR(MainTbl[[#This Row],[F_from_solvents]]/MainTbl[[#This Row],[TotalAtoms_all]],0)</f>
        <v>0</v>
      </c>
      <c r="AR102" s="2">
        <f>IFERROR(MainTbl[[#This Row],[F_from_salts]]/MainTbl[[#This Row],[TotalAtoms_all]],0)</f>
        <v>1.2581471646289231E-2</v>
      </c>
      <c r="AS102" s="2">
        <f>IFERROR(MainTbl[[#This Row],[F_total]]/MainTbl[[#This Row],[O_total]],0)</f>
        <v>5.7433148873165363E-2</v>
      </c>
      <c r="AT102" s="2">
        <f>IFERROR(MainTbl[[#This Row],[F_total]]/MainTbl[[#This Row],[C_total]],0)</f>
        <v>4.7194119115545448E-2</v>
      </c>
      <c r="AU102" s="2">
        <f>IFERROR(MainTbl[[#This Row],[O_total]]/MainTbl[[#This Row],[C_total]],0)</f>
        <v>0.8217226469641834</v>
      </c>
      <c r="AV102" s="2">
        <f>IFERROR((MainTbl[[#This Row],[TotalAtoms_all]]-(MainTbl[[#This Row],[C_total]]+MainTbl[[#This Row],[H_total]]+MainTbl[[#This Row],[Li_total]]))/MainTbl[[#This Row],[C_total]],0)</f>
        <v>0.93970794475304742</v>
      </c>
      <c r="AW102" t="str">
        <f>IFERROR(VLOOKUP(MainTbl[[#This Row],[salt_1_smiles]],SaltTbl[],MATCH("Salt",SaltTbl[#Headers],0),FALSE),"")</f>
        <v>LiFSI</v>
      </c>
      <c r="AX102" t="str">
        <f>IFERROR(VLOOKUP(MainTbl[[#This Row],[salt_2_smiles]],SaltTbl[],MATCH("Salt",SaltTbl[#Headers],0),FALSE),"")</f>
        <v/>
      </c>
      <c r="AY102" t="str">
        <f>IFERROR(VLOOKUP(MainTbl[[#This Row],[solvent_1_smiles]],SolvTbl[],MATCH("Solvent",SolvTbl[#Headers],0),FALSE),"")</f>
        <v>Ethylene carbonate</v>
      </c>
      <c r="AZ102" t="str">
        <f>IFERROR(VLOOKUP(MainTbl[[#This Row],[solvent_2_smiles]],SolvTbl[],MATCH("Solvent",SolvTbl[#Headers],0),FALSE),"")</f>
        <v>Diethyl Carbonate</v>
      </c>
      <c r="BA102" t="str">
        <f>IFERROR(VLOOKUP(MainTbl[[#This Row],[solvent_3_smiles]],SolvTbl[],MATCH("Solvent",SolvTbl[#Headers],0),FALSE),"")</f>
        <v/>
      </c>
      <c r="BB102">
        <f>--(MainTbl[[#This Row],[solv_1_ratio]]&gt;0)+--(MainTbl[[#This Row],[solv_2_ratio]]&gt;0)+--(MainTbl[[#This Row],[solv_3_ratio]]&gt;0)</f>
        <v>2</v>
      </c>
      <c r="BC102" t="str">
        <f>IF(AND(MainTbl[[#This Row],[SaltName1]]&lt;&gt;"",MainTbl[[#This Row],[salt_1_conc]]&gt;0),TEXT(MainTbl[[#This Row],[salt_1_conc]],"0.###")&amp;" M "&amp;MainTbl[[#This Row],[SaltName1]],"")</f>
        <v>1. M LiFSI</v>
      </c>
      <c r="BD102" t="str">
        <f>IF(AND(MainTbl[[#This Row],[SaltName2]]&lt;&gt;"",MainTbl[[#This Row],[salt_2_conc]]&gt;0),TEXT(MainTbl[[#This Row],[salt_2_conc]],"0.###")&amp;" M "&amp;MainTbl[[#This Row],[SaltName2]],"")</f>
        <v/>
      </c>
      <c r="BE10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102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30.%</v>
      </c>
      <c r="BG102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70.%</v>
      </c>
      <c r="BH10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30.% + Diethyl Carbonate 70.%</v>
      </c>
      <c r="BJ102" t="str">
        <f>TRIM(_xlfn.CONCAT(MainTbl[[#This Row],[Salt_text]]," ",MainTbl[[#This Row],[Solvent_text]]))</f>
        <v>1. M LiFSI Ethylene carbonate 30.% + Diethyl Carbonate 70.%</v>
      </c>
    </row>
    <row r="103" spans="1:62" x14ac:dyDescent="0.25">
      <c r="A103" t="s">
        <v>19</v>
      </c>
      <c r="B103" t="s">
        <v>27</v>
      </c>
      <c r="D103" t="s">
        <v>29</v>
      </c>
      <c r="G103">
        <v>0.5</v>
      </c>
      <c r="H103">
        <v>0.5</v>
      </c>
      <c r="I103">
        <v>0</v>
      </c>
      <c r="J103">
        <v>1</v>
      </c>
      <c r="K103">
        <v>0</v>
      </c>
      <c r="L103">
        <v>0.95699999999999996</v>
      </c>
      <c r="M103">
        <f t="shared" si="2"/>
        <v>95.7</v>
      </c>
      <c r="N103">
        <f t="shared" si="3"/>
        <v>1.3665315444204131</v>
      </c>
      <c r="O103">
        <f>IFERROR(MainTbl[[#This Row],[solv_1_ratio]]*VLOOKUP(MainTbl[[#This Row],[solvent_1_smiles]],SolvTbl[],13,FALSE),0)</f>
        <v>7.4947196293520486</v>
      </c>
      <c r="P103">
        <f>IFERROR(MainTbl[[#This Row],[solv_2_ratio]]*VLOOKUP(MainTbl[[#This Row],[solvent_2_smiles]],SolvTbl[],13,FALSE),0)</f>
        <v>5.9392970536646015</v>
      </c>
      <c r="Q103">
        <f>IFERROR(MainTbl[[#This Row],[solv_3_ratio]]*VLOOKUP(MainTbl[[#This Row],[solvent_3_smiles]],SolvTbl[],13,FALSE),0)</f>
        <v>0</v>
      </c>
      <c r="R103">
        <f>IFERROR(MainTbl[[#This Row],[salt_1_conc]],0)</f>
        <v>1</v>
      </c>
      <c r="S103">
        <f>IFERROR(MainTbl[[#This Row],[salt_2_conc]],0)</f>
        <v>0</v>
      </c>
      <c r="T10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40.302050049049953</v>
      </c>
      <c r="U10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03">
        <f>MainTbl[[#This Row],[O_from_solvents]]+MainTbl[[#This Row],[O_from_salts]]</f>
        <v>40.302050049049953</v>
      </c>
      <c r="W10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40.302050049049953</v>
      </c>
      <c r="X10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3">
        <f>MainTbl[[#This Row],[C_from_solvents]]+MainTbl[[#This Row],[C_from_salts]]</f>
        <v>40.302050049049953</v>
      </c>
      <c r="Z10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0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03">
        <f>MainTbl[[#This Row],[F_from_solvents]]+MainTbl[[#This Row],[F_from_salts]]</f>
        <v>6</v>
      </c>
      <c r="AC10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65.614660839395796</v>
      </c>
      <c r="AD10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3">
        <f>MainTbl[[#This Row],[H_from_solvents]]+MainTbl[[#This Row],[H_from_salts]]</f>
        <v>65.614660839395796</v>
      </c>
      <c r="AF10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03">
        <f>MainTbl[[#This Row],[Li_from_solvents]]+MainTbl[[#This Row],[Li_from_salts]]</f>
        <v>1</v>
      </c>
      <c r="AI10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154.21876093749569</v>
      </c>
      <c r="AJ103" s="2">
        <f>IFERROR(MainTbl[[#This Row],[O_total]]/MainTbl[[#This Row],[TotalAtoms_all]],0)</f>
        <v>0.26133039718419365</v>
      </c>
      <c r="AK103" s="2">
        <f>IFERROR(MainTbl[[#This Row],[O_from_solvents]]/MainTbl[[#This Row],[TotalAtoms_all]],0)</f>
        <v>0.26133039718419365</v>
      </c>
      <c r="AL103" s="2">
        <f>IFERROR(MainTbl[[#This Row],[O_from_salts]]/MainTbl[[#This Row],[TotalAtoms_all]],0)</f>
        <v>0</v>
      </c>
      <c r="AM103" s="2">
        <f>IFERROR(MainTbl[[#This Row],[C_total]]/MainTbl[[#This Row],[TotalAtoms_all]],0)</f>
        <v>0.26133039718419365</v>
      </c>
      <c r="AN103" s="2">
        <f>IFERROR(MainTbl[[#This Row],[C_from_solvents]]/MainTbl[[#This Row],[TotalAtoms_all]],0)</f>
        <v>0.26133039718419365</v>
      </c>
      <c r="AO103" s="2">
        <f>IFERROR(MainTbl[[#This Row],[C_from_salts]]/MainTbl[[#This Row],[TotalAtoms_all]],0)</f>
        <v>0</v>
      </c>
      <c r="AP103" s="2">
        <f>IFERROR(MainTbl[[#This Row],[F_total]]/MainTbl[[#This Row],[TotalAtoms_all]],0)</f>
        <v>3.8905772316714299E-2</v>
      </c>
      <c r="AQ103" s="2">
        <f>IFERROR(MainTbl[[#This Row],[F_from_solvents]]/MainTbl[[#This Row],[TotalAtoms_all]],0)</f>
        <v>0</v>
      </c>
      <c r="AR103" s="2">
        <f>IFERROR(MainTbl[[#This Row],[F_from_salts]]/MainTbl[[#This Row],[TotalAtoms_all]],0)</f>
        <v>3.8905772316714299E-2</v>
      </c>
      <c r="AS103" s="2">
        <f>IFERROR(MainTbl[[#This Row],[F_total]]/MainTbl[[#This Row],[O_total]],0)</f>
        <v>0.1488758014219537</v>
      </c>
      <c r="AT103" s="2">
        <f>IFERROR(MainTbl[[#This Row],[F_total]]/MainTbl[[#This Row],[C_total]],0)</f>
        <v>0.1488758014219537</v>
      </c>
      <c r="AU103" s="2">
        <f>IFERROR(MainTbl[[#This Row],[O_total]]/MainTbl[[#This Row],[C_total]],0)</f>
        <v>1</v>
      </c>
      <c r="AV103" s="2">
        <f>IFERROR((MainTbl[[#This Row],[TotalAtoms_all]]-(MainTbl[[#This Row],[C_total]]+MainTbl[[#This Row],[H_total]]+MainTbl[[#This Row],[Li_total]]))/MainTbl[[#This Row],[C_total]],0)</f>
        <v>1.1736884349922789</v>
      </c>
      <c r="AW103" t="str">
        <f>IFERROR(VLOOKUP(MainTbl[[#This Row],[salt_1_smiles]],SaltTbl[],MATCH("Salt",SaltTbl[#Headers],0),FALSE),"")</f>
        <v>LiPF6</v>
      </c>
      <c r="AX103" t="str">
        <f>IFERROR(VLOOKUP(MainTbl[[#This Row],[salt_2_smiles]],SaltTbl[],MATCH("Salt",SaltTbl[#Headers],0),FALSE),"")</f>
        <v/>
      </c>
      <c r="AY103" t="str">
        <f>IFERROR(VLOOKUP(MainTbl[[#This Row],[solvent_1_smiles]],SolvTbl[],MATCH("Solvent",SolvTbl[#Headers],0),FALSE),"")</f>
        <v>Ethylene carbonate</v>
      </c>
      <c r="AZ103" t="str">
        <f>IFERROR(VLOOKUP(MainTbl[[#This Row],[solvent_2_smiles]],SolvTbl[],MATCH("Solvent",SolvTbl[#Headers],0),FALSE),"")</f>
        <v>DMC (C3H6O3)</v>
      </c>
      <c r="BA103" t="str">
        <f>IFERROR(VLOOKUP(MainTbl[[#This Row],[solvent_3_smiles]],SolvTbl[],MATCH("Solvent",SolvTbl[#Headers],0),FALSE),"")</f>
        <v/>
      </c>
      <c r="BB103">
        <f>--(MainTbl[[#This Row],[solv_1_ratio]]&gt;0)+--(MainTbl[[#This Row],[solv_2_ratio]]&gt;0)+--(MainTbl[[#This Row],[solv_3_ratio]]&gt;0)</f>
        <v>2</v>
      </c>
      <c r="BC103" t="str">
        <f>IF(AND(MainTbl[[#This Row],[SaltName1]]&lt;&gt;"",MainTbl[[#This Row],[salt_1_conc]]&gt;0),TEXT(MainTbl[[#This Row],[salt_1_conc]],"0.###")&amp;" M "&amp;MainTbl[[#This Row],[SaltName1]],"")</f>
        <v>1. M LiPF6</v>
      </c>
      <c r="BD103" t="str">
        <f>IF(AND(MainTbl[[#This Row],[SaltName2]]&lt;&gt;"",MainTbl[[#This Row],[salt_2_conc]]&gt;0),TEXT(MainTbl[[#This Row],[salt_2_conc]],"0.###")&amp;" M "&amp;MainTbl[[#This Row],[SaltName2]],"")</f>
        <v/>
      </c>
      <c r="BE10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03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103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10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DMC (C3H6O3) 50.%</v>
      </c>
      <c r="BJ103" t="str">
        <f>TRIM(_xlfn.CONCAT(MainTbl[[#This Row],[Salt_text]]," ",MainTbl[[#This Row],[Solvent_text]]))</f>
        <v>1. M LiPF6 Ethylene carbonate 50.% + DMC (C3H6O3) 50.%</v>
      </c>
    </row>
    <row r="104" spans="1:62" x14ac:dyDescent="0.25">
      <c r="A104" t="s">
        <v>24</v>
      </c>
      <c r="B104" t="s">
        <v>27</v>
      </c>
      <c r="D104" t="s">
        <v>29</v>
      </c>
      <c r="G104">
        <v>0.5</v>
      </c>
      <c r="H104">
        <v>0.5</v>
      </c>
      <c r="I104">
        <v>0</v>
      </c>
      <c r="J104">
        <v>1</v>
      </c>
      <c r="K104">
        <v>0</v>
      </c>
      <c r="L104">
        <v>0.98299999999999998</v>
      </c>
      <c r="M104">
        <f t="shared" si="2"/>
        <v>98.3</v>
      </c>
      <c r="N104">
        <f t="shared" si="3"/>
        <v>1.7695510786217257</v>
      </c>
      <c r="O104">
        <f>IFERROR(MainTbl[[#This Row],[solv_1_ratio]]*VLOOKUP(MainTbl[[#This Row],[solvent_1_smiles]],SolvTbl[],13,FALSE),0)</f>
        <v>6.8549983970430155</v>
      </c>
      <c r="P104">
        <f>IFERROR(MainTbl[[#This Row],[solv_2_ratio]]*VLOOKUP(MainTbl[[#This Row],[solvent_2_smiles]],SolvTbl[],13,FALSE),0)</f>
        <v>5.9392970536646015</v>
      </c>
      <c r="Q104">
        <f>IFERROR(MainTbl[[#This Row],[solv_3_ratio]]*VLOOKUP(MainTbl[[#This Row],[solvent_3_smiles]],SolvTbl[],13,FALSE),0)</f>
        <v>0</v>
      </c>
      <c r="R104">
        <f>IFERROR(MainTbl[[#This Row],[salt_1_conc]],0)</f>
        <v>1</v>
      </c>
      <c r="S104">
        <f>IFERROR(MainTbl[[#This Row],[salt_2_conc]],0)</f>
        <v>0</v>
      </c>
      <c r="T10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38.382886352122853</v>
      </c>
      <c r="U10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04">
        <f>MainTbl[[#This Row],[O_from_solvents]]+MainTbl[[#This Row],[O_from_salts]]</f>
        <v>38.382886352122853</v>
      </c>
      <c r="W10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38.382886352122853</v>
      </c>
      <c r="X10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4">
        <f>MainTbl[[#This Row],[C_from_solvents]]+MainTbl[[#This Row],[C_from_salts]]</f>
        <v>38.382886352122853</v>
      </c>
      <c r="Z10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6.8549983970430155</v>
      </c>
      <c r="AA10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04">
        <f>MainTbl[[#This Row],[F_from_solvents]]+MainTbl[[#This Row],[F_from_salts]]</f>
        <v>12.854998397043016</v>
      </c>
      <c r="AC10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56.200777513116648</v>
      </c>
      <c r="AD10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4">
        <f>MainTbl[[#This Row],[H_from_solvents]]+MainTbl[[#This Row],[H_from_salts]]</f>
        <v>56.200777513116648</v>
      </c>
      <c r="AF10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04">
        <f>MainTbl[[#This Row],[Li_from_solvents]]+MainTbl[[#This Row],[Li_from_salts]]</f>
        <v>1</v>
      </c>
      <c r="AI10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147.82154861440537</v>
      </c>
      <c r="AJ104" s="2">
        <f>IFERROR(MainTbl[[#This Row],[O_total]]/MainTbl[[#This Row],[TotalAtoms_all]],0)</f>
        <v>0.25965690869769714</v>
      </c>
      <c r="AK104" s="2">
        <f>IFERROR(MainTbl[[#This Row],[O_from_solvents]]/MainTbl[[#This Row],[TotalAtoms_all]],0)</f>
        <v>0.25965690869769714</v>
      </c>
      <c r="AL104" s="2">
        <f>IFERROR(MainTbl[[#This Row],[O_from_salts]]/MainTbl[[#This Row],[TotalAtoms_all]],0)</f>
        <v>0</v>
      </c>
      <c r="AM104" s="2">
        <f>IFERROR(MainTbl[[#This Row],[C_total]]/MainTbl[[#This Row],[TotalAtoms_all]],0)</f>
        <v>0.25965690869769714</v>
      </c>
      <c r="AN104" s="2">
        <f>IFERROR(MainTbl[[#This Row],[C_from_solvents]]/MainTbl[[#This Row],[TotalAtoms_all]],0)</f>
        <v>0.25965690869769714</v>
      </c>
      <c r="AO104" s="2">
        <f>IFERROR(MainTbl[[#This Row],[C_from_salts]]/MainTbl[[#This Row],[TotalAtoms_all]],0)</f>
        <v>0</v>
      </c>
      <c r="AP104" s="2">
        <f>IFERROR(MainTbl[[#This Row],[F_total]]/MainTbl[[#This Row],[TotalAtoms_all]],0)</f>
        <v>8.6962953084569986E-2</v>
      </c>
      <c r="AQ104" s="2">
        <f>IFERROR(MainTbl[[#This Row],[F_from_solvents]]/MainTbl[[#This Row],[TotalAtoms_all]],0)</f>
        <v>4.637347167106453E-2</v>
      </c>
      <c r="AR104" s="2">
        <f>IFERROR(MainTbl[[#This Row],[F_from_salts]]/MainTbl[[#This Row],[TotalAtoms_all]],0)</f>
        <v>4.0589481413505456E-2</v>
      </c>
      <c r="AS104" s="2">
        <f>IFERROR(MainTbl[[#This Row],[F_total]]/MainTbl[[#This Row],[O_total]],0)</f>
        <v>0.33491484405606825</v>
      </c>
      <c r="AT104" s="2">
        <f>IFERROR(MainTbl[[#This Row],[F_total]]/MainTbl[[#This Row],[C_total]],0)</f>
        <v>0.33491484405606825</v>
      </c>
      <c r="AU104" s="2">
        <f>IFERROR(MainTbl[[#This Row],[O_total]]/MainTbl[[#This Row],[C_total]],0)</f>
        <v>1</v>
      </c>
      <c r="AV104" s="2">
        <f>IFERROR((MainTbl[[#This Row],[TotalAtoms_all]]-(MainTbl[[#This Row],[C_total]]+MainTbl[[#This Row],[H_total]]+MainTbl[[#This Row],[Li_total]]))/MainTbl[[#This Row],[C_total]],0)</f>
        <v>1.3609681218326808</v>
      </c>
      <c r="AW104" t="str">
        <f>IFERROR(VLOOKUP(MainTbl[[#This Row],[salt_1_smiles]],SaltTbl[],MATCH("Salt",SaltTbl[#Headers],0),FALSE),"")</f>
        <v>LiPF6</v>
      </c>
      <c r="AX104" t="str">
        <f>IFERROR(VLOOKUP(MainTbl[[#This Row],[salt_2_smiles]],SaltTbl[],MATCH("Salt",SaltTbl[#Headers],0),FALSE),"")</f>
        <v/>
      </c>
      <c r="AY104" t="str">
        <f>IFERROR(VLOOKUP(MainTbl[[#This Row],[solvent_1_smiles]],SolvTbl[],MATCH("Solvent",SolvTbl[#Headers],0),FALSE),"")</f>
        <v>Fluoroethylene carbonate</v>
      </c>
      <c r="AZ104" t="str">
        <f>IFERROR(VLOOKUP(MainTbl[[#This Row],[solvent_2_smiles]],SolvTbl[],MATCH("Solvent",SolvTbl[#Headers],0),FALSE),"")</f>
        <v>DMC (C3H6O3)</v>
      </c>
      <c r="BA104" t="str">
        <f>IFERROR(VLOOKUP(MainTbl[[#This Row],[solvent_3_smiles]],SolvTbl[],MATCH("Solvent",SolvTbl[#Headers],0),FALSE),"")</f>
        <v/>
      </c>
      <c r="BB104">
        <f>--(MainTbl[[#This Row],[solv_1_ratio]]&gt;0)+--(MainTbl[[#This Row],[solv_2_ratio]]&gt;0)+--(MainTbl[[#This Row],[solv_3_ratio]]&gt;0)</f>
        <v>2</v>
      </c>
      <c r="BC104" t="str">
        <f>IF(AND(MainTbl[[#This Row],[SaltName1]]&lt;&gt;"",MainTbl[[#This Row],[salt_1_conc]]&gt;0),TEXT(MainTbl[[#This Row],[salt_1_conc]],"0.###")&amp;" M "&amp;MainTbl[[#This Row],[SaltName1]],"")</f>
        <v>1. M LiPF6</v>
      </c>
      <c r="BD104" t="str">
        <f>IF(AND(MainTbl[[#This Row],[SaltName2]]&lt;&gt;"",MainTbl[[#This Row],[salt_2_conc]]&gt;0),TEXT(MainTbl[[#This Row],[salt_2_conc]],"0.###")&amp;" M "&amp;MainTbl[[#This Row],[SaltName2]],"")</f>
        <v/>
      </c>
      <c r="BE10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04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50.%</v>
      </c>
      <c r="BG104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10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50.% + DMC (C3H6O3) 50.%</v>
      </c>
      <c r="BJ104" t="str">
        <f>TRIM(_xlfn.CONCAT(MainTbl[[#This Row],[Salt_text]]," ",MainTbl[[#This Row],[Solvent_text]]))</f>
        <v>1. M LiPF6 Fluoroethylene carbonate 50.% + DMC (C3H6O3) 50.%</v>
      </c>
    </row>
    <row r="105" spans="1:62" x14ac:dyDescent="0.25">
      <c r="A105" t="s">
        <v>58</v>
      </c>
      <c r="B105" t="s">
        <v>27</v>
      </c>
      <c r="D105" t="s">
        <v>29</v>
      </c>
      <c r="G105">
        <v>0.5</v>
      </c>
      <c r="H105">
        <v>0.5</v>
      </c>
      <c r="I105">
        <v>0</v>
      </c>
      <c r="J105">
        <v>1</v>
      </c>
      <c r="K105">
        <v>0</v>
      </c>
      <c r="L105">
        <v>0.97799999999999998</v>
      </c>
      <c r="M105">
        <f t="shared" si="2"/>
        <v>97.8</v>
      </c>
      <c r="N105">
        <f t="shared" si="3"/>
        <v>1.6575773191777934</v>
      </c>
      <c r="O105">
        <f>IFERROR(MainTbl[[#This Row],[solv_1_ratio]]*VLOOKUP(MainTbl[[#This Row],[solvent_1_smiles]],SolvTbl[],13,FALSE),0)</f>
        <v>6.9893426632055853</v>
      </c>
      <c r="P105">
        <f>IFERROR(MainTbl[[#This Row],[solv_2_ratio]]*VLOOKUP(MainTbl[[#This Row],[solvent_2_smiles]],SolvTbl[],13,FALSE),0)</f>
        <v>5.9392970536646015</v>
      </c>
      <c r="Q105">
        <f>IFERROR(MainTbl[[#This Row],[solv_3_ratio]]*VLOOKUP(MainTbl[[#This Row],[solvent_3_smiles]],SolvTbl[],13,FALSE),0)</f>
        <v>0</v>
      </c>
      <c r="R105">
        <f>IFERROR(MainTbl[[#This Row],[salt_1_conc]],0)</f>
        <v>1</v>
      </c>
      <c r="S105">
        <f>IFERROR(MainTbl[[#This Row],[salt_2_conc]],0)</f>
        <v>0</v>
      </c>
      <c r="T10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38.78591915061056</v>
      </c>
      <c r="U10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05">
        <f>MainTbl[[#This Row],[O_from_solvents]]+MainTbl[[#This Row],[O_from_salts]]</f>
        <v>38.78591915061056</v>
      </c>
      <c r="W10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38.78591915061056</v>
      </c>
      <c r="X10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5">
        <f>MainTbl[[#This Row],[C_from_solvents]]+MainTbl[[#This Row],[C_from_salts]]</f>
        <v>38.78591915061056</v>
      </c>
      <c r="Z10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13.978685326411171</v>
      </c>
      <c r="AA10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05">
        <f>MainTbl[[#This Row],[F_from_solvents]]+MainTbl[[#This Row],[F_from_salts]]</f>
        <v>19.978685326411171</v>
      </c>
      <c r="AC10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49.614467648398772</v>
      </c>
      <c r="AD10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5">
        <f>MainTbl[[#This Row],[H_from_solvents]]+MainTbl[[#This Row],[H_from_salts]]</f>
        <v>49.614467648398772</v>
      </c>
      <c r="AF10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05">
        <f>MainTbl[[#This Row],[Li_from_solvents]]+MainTbl[[#This Row],[Li_from_salts]]</f>
        <v>1</v>
      </c>
      <c r="AI10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149.16499127603106</v>
      </c>
      <c r="AJ105" s="2">
        <f>IFERROR(MainTbl[[#This Row],[O_total]]/MainTbl[[#This Row],[TotalAtoms_all]],0)</f>
        <v>0.26002025554935271</v>
      </c>
      <c r="AK105" s="2">
        <f>IFERROR(MainTbl[[#This Row],[O_from_solvents]]/MainTbl[[#This Row],[TotalAtoms_all]],0)</f>
        <v>0.26002025554935271</v>
      </c>
      <c r="AL105" s="2">
        <f>IFERROR(MainTbl[[#This Row],[O_from_salts]]/MainTbl[[#This Row],[TotalAtoms_all]],0)</f>
        <v>0</v>
      </c>
      <c r="AM105" s="2">
        <f>IFERROR(MainTbl[[#This Row],[C_total]]/MainTbl[[#This Row],[TotalAtoms_all]],0)</f>
        <v>0.26002025554935271</v>
      </c>
      <c r="AN105" s="2">
        <f>IFERROR(MainTbl[[#This Row],[C_from_solvents]]/MainTbl[[#This Row],[TotalAtoms_all]],0)</f>
        <v>0.26002025554935271</v>
      </c>
      <c r="AO105" s="2">
        <f>IFERROR(MainTbl[[#This Row],[C_from_salts]]/MainTbl[[#This Row],[TotalAtoms_all]],0)</f>
        <v>0</v>
      </c>
      <c r="AP105" s="2">
        <f>IFERROR(MainTbl[[#This Row],[F_total]]/MainTbl[[#This Row],[TotalAtoms_all]],0)</f>
        <v>0.13393682495807913</v>
      </c>
      <c r="AQ105" s="2">
        <f>IFERROR(MainTbl[[#This Row],[F_from_solvents]]/MainTbl[[#This Row],[TotalAtoms_all]],0)</f>
        <v>9.3712909489221216E-2</v>
      </c>
      <c r="AR105" s="2">
        <f>IFERROR(MainTbl[[#This Row],[F_from_salts]]/MainTbl[[#This Row],[TotalAtoms_all]],0)</f>
        <v>4.0223915468857903E-2</v>
      </c>
      <c r="AS105" s="2">
        <f>IFERROR(MainTbl[[#This Row],[F_total]]/MainTbl[[#This Row],[O_total]],0)</f>
        <v>0.51510150497739771</v>
      </c>
      <c r="AT105" s="2">
        <f>IFERROR(MainTbl[[#This Row],[F_total]]/MainTbl[[#This Row],[C_total]],0)</f>
        <v>0.51510150497739771</v>
      </c>
      <c r="AU105" s="2">
        <f>IFERROR(MainTbl[[#This Row],[O_total]]/MainTbl[[#This Row],[C_total]],0)</f>
        <v>1</v>
      </c>
      <c r="AV105" s="2">
        <f>IFERROR((MainTbl[[#This Row],[TotalAtoms_all]]-(MainTbl[[#This Row],[C_total]]+MainTbl[[#This Row],[H_total]]+MainTbl[[#This Row],[Li_total]]))/MainTbl[[#This Row],[C_total]],0)</f>
        <v>1.5408840575608975</v>
      </c>
      <c r="AW105" t="str">
        <f>IFERROR(VLOOKUP(MainTbl[[#This Row],[salt_1_smiles]],SaltTbl[],MATCH("Salt",SaltTbl[#Headers],0),FALSE),"")</f>
        <v>LiPF6</v>
      </c>
      <c r="AX105" t="str">
        <f>IFERROR(VLOOKUP(MainTbl[[#This Row],[salt_2_smiles]],SaltTbl[],MATCH("Salt",SaltTbl[#Headers],0),FALSE),"")</f>
        <v/>
      </c>
      <c r="AY105" t="str">
        <f>IFERROR(VLOOKUP(MainTbl[[#This Row],[solvent_1_smiles]],SolvTbl[],MATCH("Solvent",SolvTbl[#Headers],0),FALSE),"")</f>
        <v>4,5-Difluoro-1,3-dioxolan-2-one</v>
      </c>
      <c r="AZ105" t="str">
        <f>IFERROR(VLOOKUP(MainTbl[[#This Row],[solvent_2_smiles]],SolvTbl[],MATCH("Solvent",SolvTbl[#Headers],0),FALSE),"")</f>
        <v>DMC (C3H6O3)</v>
      </c>
      <c r="BA105" t="str">
        <f>IFERROR(VLOOKUP(MainTbl[[#This Row],[solvent_3_smiles]],SolvTbl[],MATCH("Solvent",SolvTbl[#Headers],0),FALSE),"")</f>
        <v/>
      </c>
      <c r="BB105">
        <f>--(MainTbl[[#This Row],[solv_1_ratio]]&gt;0)+--(MainTbl[[#This Row],[solv_2_ratio]]&gt;0)+--(MainTbl[[#This Row],[solv_3_ratio]]&gt;0)</f>
        <v>2</v>
      </c>
      <c r="BC105" t="str">
        <f>IF(AND(MainTbl[[#This Row],[SaltName1]]&lt;&gt;"",MainTbl[[#This Row],[salt_1_conc]]&gt;0),TEXT(MainTbl[[#This Row],[salt_1_conc]],"0.###")&amp;" M "&amp;MainTbl[[#This Row],[SaltName1]],"")</f>
        <v>1. M LiPF6</v>
      </c>
      <c r="BD105" t="str">
        <f>IF(AND(MainTbl[[#This Row],[SaltName2]]&lt;&gt;"",MainTbl[[#This Row],[salt_2_conc]]&gt;0),TEXT(MainTbl[[#This Row],[salt_2_conc]],"0.###")&amp;" M "&amp;MainTbl[[#This Row],[SaltName2]],"")</f>
        <v/>
      </c>
      <c r="BE10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05" t="str">
        <f>IF(MainTbl[[#This Row],[SolvCount]]=1,MainTbl[[#This Row],[SolvName1]],IF(MainTbl[[#This Row],[solv_1_ratio]]&gt;0,MainTbl[[#This Row],[SolvName1]]&amp;" "&amp;TEXT(MainTbl[[#This Row],[solv_1_ratio]]*100,"0.##")&amp;"%",""))</f>
        <v>4,5-Difluoro-1,3-dioxolan-2-one 50.%</v>
      </c>
      <c r="BG105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10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4,5-Difluoro-1,3-dioxolan-2-one 50.% + DMC (C3H6O3) 50.%</v>
      </c>
      <c r="BJ105" t="str">
        <f>TRIM(_xlfn.CONCAT(MainTbl[[#This Row],[Salt_text]]," ",MainTbl[[#This Row],[Solvent_text]]))</f>
        <v>1. M LiPF6 4,5-Difluoro-1,3-dioxolan-2-one 50.% + DMC (C3H6O3) 50.%</v>
      </c>
    </row>
    <row r="106" spans="1:62" x14ac:dyDescent="0.25">
      <c r="A106" t="s">
        <v>59</v>
      </c>
      <c r="B106" t="s">
        <v>27</v>
      </c>
      <c r="D106" t="s">
        <v>29</v>
      </c>
      <c r="G106">
        <v>0.5</v>
      </c>
      <c r="H106">
        <v>0.5</v>
      </c>
      <c r="I106">
        <v>0</v>
      </c>
      <c r="J106">
        <v>1</v>
      </c>
      <c r="K106">
        <v>0</v>
      </c>
      <c r="L106">
        <v>0.54200000000000004</v>
      </c>
      <c r="M106">
        <f t="shared" si="2"/>
        <v>54.2</v>
      </c>
      <c r="N106">
        <f t="shared" si="3"/>
        <v>0.33913452199613087</v>
      </c>
      <c r="O106">
        <f>IFERROR(MainTbl[[#This Row],[solv_1_ratio]]*VLOOKUP(MainTbl[[#This Row],[solvent_1_smiles]],SolvTbl[],13,FALSE),0)</f>
        <v>5.1261021119540704</v>
      </c>
      <c r="P106">
        <f>IFERROR(MainTbl[[#This Row],[solv_2_ratio]]*VLOOKUP(MainTbl[[#This Row],[solvent_2_smiles]],SolvTbl[],13,FALSE),0)</f>
        <v>5.9392970536646015</v>
      </c>
      <c r="Q106">
        <f>IFERROR(MainTbl[[#This Row],[solv_3_ratio]]*VLOOKUP(MainTbl[[#This Row],[solvent_3_smiles]],SolvTbl[],13,FALSE),0)</f>
        <v>0</v>
      </c>
      <c r="R106">
        <f>IFERROR(MainTbl[[#This Row],[salt_1_conc]],0)</f>
        <v>1</v>
      </c>
      <c r="S106">
        <f>IFERROR(MainTbl[[#This Row],[salt_2_conc]],0)</f>
        <v>0</v>
      </c>
      <c r="T10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33.196197496856016</v>
      </c>
      <c r="U10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06">
        <f>MainTbl[[#This Row],[O_from_solvents]]+MainTbl[[#This Row],[O_from_salts]]</f>
        <v>33.196197496856016</v>
      </c>
      <c r="W10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38.322299608810084</v>
      </c>
      <c r="X10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6">
        <f>MainTbl[[#This Row],[C_from_solvents]]+MainTbl[[#This Row],[C_from_salts]]</f>
        <v>38.322299608810084</v>
      </c>
      <c r="Z10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15.378306335862211</v>
      </c>
      <c r="AA10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06">
        <f>MainTbl[[#This Row],[F_from_solvents]]+MainTbl[[#This Row],[F_from_salts]]</f>
        <v>21.378306335862213</v>
      </c>
      <c r="AC10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51.014088657849818</v>
      </c>
      <c r="AD10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6">
        <f>MainTbl[[#This Row],[H_from_solvents]]+MainTbl[[#This Row],[H_from_salts]]</f>
        <v>51.014088657849818</v>
      </c>
      <c r="AF10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06">
        <f>MainTbl[[#This Row],[Li_from_solvents]]+MainTbl[[#This Row],[Li_from_salts]]</f>
        <v>1</v>
      </c>
      <c r="AI10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145.91089209937815</v>
      </c>
      <c r="AJ106" s="2">
        <f>IFERROR(MainTbl[[#This Row],[O_total]]/MainTbl[[#This Row],[TotalAtoms_all]],0)</f>
        <v>0.22751007151848873</v>
      </c>
      <c r="AK106" s="2">
        <f>IFERROR(MainTbl[[#This Row],[O_from_solvents]]/MainTbl[[#This Row],[TotalAtoms_all]],0)</f>
        <v>0.22751007151848873</v>
      </c>
      <c r="AL106" s="2">
        <f>IFERROR(MainTbl[[#This Row],[O_from_salts]]/MainTbl[[#This Row],[TotalAtoms_all]],0)</f>
        <v>0</v>
      </c>
      <c r="AM106" s="2">
        <f>IFERROR(MainTbl[[#This Row],[C_total]]/MainTbl[[#This Row],[TotalAtoms_all]],0)</f>
        <v>0.26264180183827007</v>
      </c>
      <c r="AN106" s="2">
        <f>IFERROR(MainTbl[[#This Row],[C_from_solvents]]/MainTbl[[#This Row],[TotalAtoms_all]],0)</f>
        <v>0.26264180183827007</v>
      </c>
      <c r="AO106" s="2">
        <f>IFERROR(MainTbl[[#This Row],[C_from_salts]]/MainTbl[[#This Row],[TotalAtoms_all]],0)</f>
        <v>0</v>
      </c>
      <c r="AP106" s="2">
        <f>IFERROR(MainTbl[[#This Row],[F_total]]/MainTbl[[#This Row],[TotalAtoms_all]],0)</f>
        <v>0.14651617866404179</v>
      </c>
      <c r="AQ106" s="2">
        <f>IFERROR(MainTbl[[#This Row],[F_from_solvents]]/MainTbl[[#This Row],[TotalAtoms_all]],0)</f>
        <v>0.10539519095934409</v>
      </c>
      <c r="AR106" s="2">
        <f>IFERROR(MainTbl[[#This Row],[F_from_salts]]/MainTbl[[#This Row],[TotalAtoms_all]],0)</f>
        <v>4.1120987704697687E-2</v>
      </c>
      <c r="AS106" s="2">
        <f>IFERROR(MainTbl[[#This Row],[F_total]]/MainTbl[[#This Row],[O_total]],0)</f>
        <v>0.64399864887799074</v>
      </c>
      <c r="AT106" s="2">
        <f>IFERROR(MainTbl[[#This Row],[F_total]]/MainTbl[[#This Row],[C_total]],0)</f>
        <v>0.55785551895605601</v>
      </c>
      <c r="AU106" s="2">
        <f>IFERROR(MainTbl[[#This Row],[O_total]]/MainTbl[[#This Row],[C_total]],0)</f>
        <v>0.86623709526096382</v>
      </c>
      <c r="AV106" s="2">
        <f>IFERROR((MainTbl[[#This Row],[TotalAtoms_all]]-(MainTbl[[#This Row],[C_total]]+MainTbl[[#This Row],[H_total]]+MainTbl[[#This Row],[Li_total]]))/MainTbl[[#This Row],[C_total]],0)</f>
        <v>1.4501870816735116</v>
      </c>
      <c r="AW106" t="str">
        <f>IFERROR(VLOOKUP(MainTbl[[#This Row],[salt_1_smiles]],SaltTbl[],MATCH("Salt",SaltTbl[#Headers],0),FALSE),"")</f>
        <v>LiPF6</v>
      </c>
      <c r="AX106" t="str">
        <f>IFERROR(VLOOKUP(MainTbl[[#This Row],[salt_2_smiles]],SaltTbl[],MATCH("Salt",SaltTbl[#Headers],0),FALSE),"")</f>
        <v/>
      </c>
      <c r="AY106" t="str">
        <f>IFERROR(VLOOKUP(MainTbl[[#This Row],[solvent_1_smiles]],SolvTbl[],MATCH("Solvent",SolvTbl[#Headers],0),FALSE),"")</f>
        <v>4-(Trifluoromethyl)-1,3-dioxolan-2-one</v>
      </c>
      <c r="AZ106" t="str">
        <f>IFERROR(VLOOKUP(MainTbl[[#This Row],[solvent_2_smiles]],SolvTbl[],MATCH("Solvent",SolvTbl[#Headers],0),FALSE),"")</f>
        <v>DMC (C3H6O3)</v>
      </c>
      <c r="BA106" t="str">
        <f>IFERROR(VLOOKUP(MainTbl[[#This Row],[solvent_3_smiles]],SolvTbl[],MATCH("Solvent",SolvTbl[#Headers],0),FALSE),"")</f>
        <v/>
      </c>
      <c r="BB106">
        <f>--(MainTbl[[#This Row],[solv_1_ratio]]&gt;0)+--(MainTbl[[#This Row],[solv_2_ratio]]&gt;0)+--(MainTbl[[#This Row],[solv_3_ratio]]&gt;0)</f>
        <v>2</v>
      </c>
      <c r="BC106" t="str">
        <f>IF(AND(MainTbl[[#This Row],[SaltName1]]&lt;&gt;"",MainTbl[[#This Row],[salt_1_conc]]&gt;0),TEXT(MainTbl[[#This Row],[salt_1_conc]],"0.###")&amp;" M "&amp;MainTbl[[#This Row],[SaltName1]],"")</f>
        <v>1. M LiPF6</v>
      </c>
      <c r="BD106" t="str">
        <f>IF(AND(MainTbl[[#This Row],[SaltName2]]&lt;&gt;"",MainTbl[[#This Row],[salt_2_conc]]&gt;0),TEXT(MainTbl[[#This Row],[salt_2_conc]],"0.###")&amp;" M "&amp;MainTbl[[#This Row],[SaltName2]],"")</f>
        <v/>
      </c>
      <c r="BE10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06" t="str">
        <f>IF(MainTbl[[#This Row],[SolvCount]]=1,MainTbl[[#This Row],[SolvName1]],IF(MainTbl[[#This Row],[solv_1_ratio]]&gt;0,MainTbl[[#This Row],[SolvName1]]&amp;" "&amp;TEXT(MainTbl[[#This Row],[solv_1_ratio]]*100,"0.##")&amp;"%",""))</f>
        <v>4-(Trifluoromethyl)-1,3-dioxolan-2-one 50.%</v>
      </c>
      <c r="BG106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10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4-(Trifluoromethyl)-1,3-dioxolan-2-one 50.% + DMC (C3H6O3) 50.%</v>
      </c>
      <c r="BJ106" t="str">
        <f>TRIM(_xlfn.CONCAT(MainTbl[[#This Row],[Salt_text]]," ",MainTbl[[#This Row],[Solvent_text]]))</f>
        <v>1. M LiPF6 4-(Trifluoromethyl)-1,3-dioxolan-2-one 50.% + DMC (C3H6O3) 50.%</v>
      </c>
    </row>
    <row r="107" spans="1:62" x14ac:dyDescent="0.25">
      <c r="A107" t="s">
        <v>24</v>
      </c>
      <c r="B107" t="s">
        <v>27</v>
      </c>
      <c r="D107" t="s">
        <v>29</v>
      </c>
      <c r="F107" t="s">
        <v>60</v>
      </c>
      <c r="G107">
        <v>0.5</v>
      </c>
      <c r="H107">
        <v>0.5</v>
      </c>
      <c r="I107">
        <v>0</v>
      </c>
      <c r="J107">
        <v>1</v>
      </c>
      <c r="K107">
        <v>0</v>
      </c>
      <c r="L107">
        <v>0.98799999999999999</v>
      </c>
      <c r="M107">
        <f t="shared" si="2"/>
        <v>98.8</v>
      </c>
      <c r="N107">
        <f t="shared" si="3"/>
        <v>1.9208187539523749</v>
      </c>
      <c r="O107">
        <f>IFERROR(MainTbl[[#This Row],[solv_1_ratio]]*VLOOKUP(MainTbl[[#This Row],[solvent_1_smiles]],SolvTbl[],13,FALSE),0)</f>
        <v>6.8549983970430155</v>
      </c>
      <c r="P107">
        <f>IFERROR(MainTbl[[#This Row],[solv_2_ratio]]*VLOOKUP(MainTbl[[#This Row],[solvent_2_smiles]],SolvTbl[],13,FALSE),0)</f>
        <v>5.9392970536646015</v>
      </c>
      <c r="Q107">
        <f>IFERROR(MainTbl[[#This Row],[solv_3_ratio]]*VLOOKUP(MainTbl[[#This Row],[solvent_3_smiles]],SolvTbl[],13,FALSE),0)</f>
        <v>0</v>
      </c>
      <c r="R107">
        <f>IFERROR(MainTbl[[#This Row],[salt_1_conc]],0)</f>
        <v>1</v>
      </c>
      <c r="S107">
        <f>IFERROR(MainTbl[[#This Row],[salt_2_conc]],0)</f>
        <v>0</v>
      </c>
      <c r="T10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38.382886352122853</v>
      </c>
      <c r="U10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07">
        <f>MainTbl[[#This Row],[O_from_solvents]]+MainTbl[[#This Row],[O_from_salts]]</f>
        <v>38.382886352122853</v>
      </c>
      <c r="W10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38.382886352122853</v>
      </c>
      <c r="X10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7">
        <f>MainTbl[[#This Row],[C_from_solvents]]+MainTbl[[#This Row],[C_from_salts]]</f>
        <v>38.382886352122853</v>
      </c>
      <c r="Z10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6.8549983970430155</v>
      </c>
      <c r="AA10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07">
        <f>MainTbl[[#This Row],[F_from_solvents]]+MainTbl[[#This Row],[F_from_salts]]</f>
        <v>12.854998397043016</v>
      </c>
      <c r="AC10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56.200777513116648</v>
      </c>
      <c r="AD10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7">
        <f>MainTbl[[#This Row],[H_from_solvents]]+MainTbl[[#This Row],[H_from_salts]]</f>
        <v>56.200777513116648</v>
      </c>
      <c r="AF10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07">
        <f>MainTbl[[#This Row],[Li_from_solvents]]+MainTbl[[#This Row],[Li_from_salts]]</f>
        <v>1</v>
      </c>
      <c r="AI10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147.82154861440537</v>
      </c>
      <c r="AJ107" s="2">
        <f>IFERROR(MainTbl[[#This Row],[O_total]]/MainTbl[[#This Row],[TotalAtoms_all]],0)</f>
        <v>0.25965690869769714</v>
      </c>
      <c r="AK107" s="2">
        <f>IFERROR(MainTbl[[#This Row],[O_from_solvents]]/MainTbl[[#This Row],[TotalAtoms_all]],0)</f>
        <v>0.25965690869769714</v>
      </c>
      <c r="AL107" s="2">
        <f>IFERROR(MainTbl[[#This Row],[O_from_salts]]/MainTbl[[#This Row],[TotalAtoms_all]],0)</f>
        <v>0</v>
      </c>
      <c r="AM107" s="2">
        <f>IFERROR(MainTbl[[#This Row],[C_total]]/MainTbl[[#This Row],[TotalAtoms_all]],0)</f>
        <v>0.25965690869769714</v>
      </c>
      <c r="AN107" s="2">
        <f>IFERROR(MainTbl[[#This Row],[C_from_solvents]]/MainTbl[[#This Row],[TotalAtoms_all]],0)</f>
        <v>0.25965690869769714</v>
      </c>
      <c r="AO107" s="2">
        <f>IFERROR(MainTbl[[#This Row],[C_from_salts]]/MainTbl[[#This Row],[TotalAtoms_all]],0)</f>
        <v>0</v>
      </c>
      <c r="AP107" s="2">
        <f>IFERROR(MainTbl[[#This Row],[F_total]]/MainTbl[[#This Row],[TotalAtoms_all]],0)</f>
        <v>8.6962953084569986E-2</v>
      </c>
      <c r="AQ107" s="2">
        <f>IFERROR(MainTbl[[#This Row],[F_from_solvents]]/MainTbl[[#This Row],[TotalAtoms_all]],0)</f>
        <v>4.637347167106453E-2</v>
      </c>
      <c r="AR107" s="2">
        <f>IFERROR(MainTbl[[#This Row],[F_from_salts]]/MainTbl[[#This Row],[TotalAtoms_all]],0)</f>
        <v>4.0589481413505456E-2</v>
      </c>
      <c r="AS107" s="2">
        <f>IFERROR(MainTbl[[#This Row],[F_total]]/MainTbl[[#This Row],[O_total]],0)</f>
        <v>0.33491484405606825</v>
      </c>
      <c r="AT107" s="2">
        <f>IFERROR(MainTbl[[#This Row],[F_total]]/MainTbl[[#This Row],[C_total]],0)</f>
        <v>0.33491484405606825</v>
      </c>
      <c r="AU107" s="2">
        <f>IFERROR(MainTbl[[#This Row],[O_total]]/MainTbl[[#This Row],[C_total]],0)</f>
        <v>1</v>
      </c>
      <c r="AV107" s="2">
        <f>IFERROR((MainTbl[[#This Row],[TotalAtoms_all]]-(MainTbl[[#This Row],[C_total]]+MainTbl[[#This Row],[H_total]]+MainTbl[[#This Row],[Li_total]]))/MainTbl[[#This Row],[C_total]],0)</f>
        <v>1.3609681218326808</v>
      </c>
      <c r="AW107" t="str">
        <f>IFERROR(VLOOKUP(MainTbl[[#This Row],[salt_1_smiles]],SaltTbl[],MATCH("Salt",SaltTbl[#Headers],0),FALSE),"")</f>
        <v>LiPF6</v>
      </c>
      <c r="AX107" t="str">
        <f>IFERROR(VLOOKUP(MainTbl[[#This Row],[salt_2_smiles]],SaltTbl[],MATCH("Salt",SaltTbl[#Headers],0),FALSE),"")</f>
        <v/>
      </c>
      <c r="AY107" t="str">
        <f>IFERROR(VLOOKUP(MainTbl[[#This Row],[solvent_1_smiles]],SolvTbl[],MATCH("Solvent",SolvTbl[#Headers],0),FALSE),"")</f>
        <v>Fluoroethylene carbonate</v>
      </c>
      <c r="AZ107" t="str">
        <f>IFERROR(VLOOKUP(MainTbl[[#This Row],[solvent_2_smiles]],SolvTbl[],MATCH("Solvent",SolvTbl[#Headers],0),FALSE),"")</f>
        <v>DMC (C3H6O3)</v>
      </c>
      <c r="BA107" t="str">
        <f>IFERROR(VLOOKUP(MainTbl[[#This Row],[solvent_3_smiles]],SolvTbl[],MATCH("Solvent",SolvTbl[#Headers],0),FALSE),"")</f>
        <v/>
      </c>
      <c r="BB107">
        <f>--(MainTbl[[#This Row],[solv_1_ratio]]&gt;0)+--(MainTbl[[#This Row],[solv_2_ratio]]&gt;0)+--(MainTbl[[#This Row],[solv_3_ratio]]&gt;0)</f>
        <v>2</v>
      </c>
      <c r="BC107" t="str">
        <f>IF(AND(MainTbl[[#This Row],[SaltName1]]&lt;&gt;"",MainTbl[[#This Row],[salt_1_conc]]&gt;0),TEXT(MainTbl[[#This Row],[salt_1_conc]],"0.###")&amp;" M "&amp;MainTbl[[#This Row],[SaltName1]],"")</f>
        <v>1. M LiPF6</v>
      </c>
      <c r="BD107" t="str">
        <f>IF(AND(MainTbl[[#This Row],[SaltName2]]&lt;&gt;"",MainTbl[[#This Row],[salt_2_conc]]&gt;0),TEXT(MainTbl[[#This Row],[salt_2_conc]],"0.###")&amp;" M "&amp;MainTbl[[#This Row],[SaltName2]],"")</f>
        <v/>
      </c>
      <c r="BE10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07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50.%</v>
      </c>
      <c r="BG107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10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50.% + DMC (C3H6O3) 50.%</v>
      </c>
      <c r="BJ107" t="str">
        <f>TRIM(_xlfn.CONCAT(MainTbl[[#This Row],[Salt_text]]," ",MainTbl[[#This Row],[Solvent_text]]))</f>
        <v>1. M LiPF6 Fluoroethylene carbonate 50.% + DMC (C3H6O3) 50.%</v>
      </c>
    </row>
    <row r="108" spans="1:62" x14ac:dyDescent="0.25">
      <c r="A108" t="s">
        <v>24</v>
      </c>
      <c r="B108" t="s">
        <v>27</v>
      </c>
      <c r="D108" t="s">
        <v>29</v>
      </c>
      <c r="F108" t="s">
        <v>60</v>
      </c>
      <c r="G108">
        <v>0.5</v>
      </c>
      <c r="H108">
        <v>0.5</v>
      </c>
      <c r="I108">
        <v>0</v>
      </c>
      <c r="J108">
        <v>1</v>
      </c>
      <c r="K108">
        <v>0</v>
      </c>
      <c r="L108">
        <v>0.99099999999999999</v>
      </c>
      <c r="M108">
        <f t="shared" si="2"/>
        <v>99.1</v>
      </c>
      <c r="N108">
        <f t="shared" si="3"/>
        <v>2.0457574905606748</v>
      </c>
      <c r="O108">
        <f>IFERROR(MainTbl[[#This Row],[solv_1_ratio]]*VLOOKUP(MainTbl[[#This Row],[solvent_1_smiles]],SolvTbl[],13,FALSE),0)</f>
        <v>6.8549983970430155</v>
      </c>
      <c r="P108">
        <f>IFERROR(MainTbl[[#This Row],[solv_2_ratio]]*VLOOKUP(MainTbl[[#This Row],[solvent_2_smiles]],SolvTbl[],13,FALSE),0)</f>
        <v>5.9392970536646015</v>
      </c>
      <c r="Q108">
        <f>IFERROR(MainTbl[[#This Row],[solv_3_ratio]]*VLOOKUP(MainTbl[[#This Row],[solvent_3_smiles]],SolvTbl[],13,FALSE),0)</f>
        <v>0</v>
      </c>
      <c r="R108">
        <f>IFERROR(MainTbl[[#This Row],[salt_1_conc]],0)</f>
        <v>1</v>
      </c>
      <c r="S108">
        <f>IFERROR(MainTbl[[#This Row],[salt_2_conc]],0)</f>
        <v>0</v>
      </c>
      <c r="T10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38.382886352122853</v>
      </c>
      <c r="U10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08">
        <f>MainTbl[[#This Row],[O_from_solvents]]+MainTbl[[#This Row],[O_from_salts]]</f>
        <v>38.382886352122853</v>
      </c>
      <c r="W10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38.382886352122853</v>
      </c>
      <c r="X10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8">
        <f>MainTbl[[#This Row],[C_from_solvents]]+MainTbl[[#This Row],[C_from_salts]]</f>
        <v>38.382886352122853</v>
      </c>
      <c r="Z10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6.8549983970430155</v>
      </c>
      <c r="AA10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08">
        <f>MainTbl[[#This Row],[F_from_solvents]]+MainTbl[[#This Row],[F_from_salts]]</f>
        <v>12.854998397043016</v>
      </c>
      <c r="AC10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56.200777513116648</v>
      </c>
      <c r="AD10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8">
        <f>MainTbl[[#This Row],[H_from_solvents]]+MainTbl[[#This Row],[H_from_salts]]</f>
        <v>56.200777513116648</v>
      </c>
      <c r="AF10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08">
        <f>MainTbl[[#This Row],[Li_from_solvents]]+MainTbl[[#This Row],[Li_from_salts]]</f>
        <v>1</v>
      </c>
      <c r="AI10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147.82154861440537</v>
      </c>
      <c r="AJ108" s="2">
        <f>IFERROR(MainTbl[[#This Row],[O_total]]/MainTbl[[#This Row],[TotalAtoms_all]],0)</f>
        <v>0.25965690869769714</v>
      </c>
      <c r="AK108" s="2">
        <f>IFERROR(MainTbl[[#This Row],[O_from_solvents]]/MainTbl[[#This Row],[TotalAtoms_all]],0)</f>
        <v>0.25965690869769714</v>
      </c>
      <c r="AL108" s="2">
        <f>IFERROR(MainTbl[[#This Row],[O_from_salts]]/MainTbl[[#This Row],[TotalAtoms_all]],0)</f>
        <v>0</v>
      </c>
      <c r="AM108" s="2">
        <f>IFERROR(MainTbl[[#This Row],[C_total]]/MainTbl[[#This Row],[TotalAtoms_all]],0)</f>
        <v>0.25965690869769714</v>
      </c>
      <c r="AN108" s="2">
        <f>IFERROR(MainTbl[[#This Row],[C_from_solvents]]/MainTbl[[#This Row],[TotalAtoms_all]],0)</f>
        <v>0.25965690869769714</v>
      </c>
      <c r="AO108" s="2">
        <f>IFERROR(MainTbl[[#This Row],[C_from_salts]]/MainTbl[[#This Row],[TotalAtoms_all]],0)</f>
        <v>0</v>
      </c>
      <c r="AP108" s="2">
        <f>IFERROR(MainTbl[[#This Row],[F_total]]/MainTbl[[#This Row],[TotalAtoms_all]],0)</f>
        <v>8.6962953084569986E-2</v>
      </c>
      <c r="AQ108" s="2">
        <f>IFERROR(MainTbl[[#This Row],[F_from_solvents]]/MainTbl[[#This Row],[TotalAtoms_all]],0)</f>
        <v>4.637347167106453E-2</v>
      </c>
      <c r="AR108" s="2">
        <f>IFERROR(MainTbl[[#This Row],[F_from_salts]]/MainTbl[[#This Row],[TotalAtoms_all]],0)</f>
        <v>4.0589481413505456E-2</v>
      </c>
      <c r="AS108" s="2">
        <f>IFERROR(MainTbl[[#This Row],[F_total]]/MainTbl[[#This Row],[O_total]],0)</f>
        <v>0.33491484405606825</v>
      </c>
      <c r="AT108" s="2">
        <f>IFERROR(MainTbl[[#This Row],[F_total]]/MainTbl[[#This Row],[C_total]],0)</f>
        <v>0.33491484405606825</v>
      </c>
      <c r="AU108" s="2">
        <f>IFERROR(MainTbl[[#This Row],[O_total]]/MainTbl[[#This Row],[C_total]],0)</f>
        <v>1</v>
      </c>
      <c r="AV108" s="2">
        <f>IFERROR((MainTbl[[#This Row],[TotalAtoms_all]]-(MainTbl[[#This Row],[C_total]]+MainTbl[[#This Row],[H_total]]+MainTbl[[#This Row],[Li_total]]))/MainTbl[[#This Row],[C_total]],0)</f>
        <v>1.3609681218326808</v>
      </c>
      <c r="AW108" t="str">
        <f>IFERROR(VLOOKUP(MainTbl[[#This Row],[salt_1_smiles]],SaltTbl[],MATCH("Salt",SaltTbl[#Headers],0),FALSE),"")</f>
        <v>LiPF6</v>
      </c>
      <c r="AX108" t="str">
        <f>IFERROR(VLOOKUP(MainTbl[[#This Row],[salt_2_smiles]],SaltTbl[],MATCH("Salt",SaltTbl[#Headers],0),FALSE),"")</f>
        <v/>
      </c>
      <c r="AY108" t="str">
        <f>IFERROR(VLOOKUP(MainTbl[[#This Row],[solvent_1_smiles]],SolvTbl[],MATCH("Solvent",SolvTbl[#Headers],0),FALSE),"")</f>
        <v>Fluoroethylene carbonate</v>
      </c>
      <c r="AZ108" t="str">
        <f>IFERROR(VLOOKUP(MainTbl[[#This Row],[solvent_2_smiles]],SolvTbl[],MATCH("Solvent",SolvTbl[#Headers],0),FALSE),"")</f>
        <v>DMC (C3H6O3)</v>
      </c>
      <c r="BA108" t="str">
        <f>IFERROR(VLOOKUP(MainTbl[[#This Row],[solvent_3_smiles]],SolvTbl[],MATCH("Solvent",SolvTbl[#Headers],0),FALSE),"")</f>
        <v/>
      </c>
      <c r="BB108">
        <f>--(MainTbl[[#This Row],[solv_1_ratio]]&gt;0)+--(MainTbl[[#This Row],[solv_2_ratio]]&gt;0)+--(MainTbl[[#This Row],[solv_3_ratio]]&gt;0)</f>
        <v>2</v>
      </c>
      <c r="BC108" t="str">
        <f>IF(AND(MainTbl[[#This Row],[SaltName1]]&lt;&gt;"",MainTbl[[#This Row],[salt_1_conc]]&gt;0),TEXT(MainTbl[[#This Row],[salt_1_conc]],"0.###")&amp;" M "&amp;MainTbl[[#This Row],[SaltName1]],"")</f>
        <v>1. M LiPF6</v>
      </c>
      <c r="BD108" t="str">
        <f>IF(AND(MainTbl[[#This Row],[SaltName2]]&lt;&gt;"",MainTbl[[#This Row],[salt_2_conc]]&gt;0),TEXT(MainTbl[[#This Row],[salt_2_conc]],"0.###")&amp;" M "&amp;MainTbl[[#This Row],[SaltName2]],"")</f>
        <v/>
      </c>
      <c r="BE10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08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50.%</v>
      </c>
      <c r="BG108" t="str">
        <f>IF(MainTbl[[#This Row],[SolvCount]]=1,MainTbl[[#This Row],[SolvName2]],IF(MainTbl[[#This Row],[solv_2_ratio]]&gt;0,MainTbl[[#This Row],[SolvName2]]&amp;" "&amp;TEXT(MainTbl[[#This Row],[solv_2_ratio]]*100,"0.##")&amp;"%",""))</f>
        <v>DMC (C3H6O3) 50.%</v>
      </c>
      <c r="BH10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50.% + DMC (C3H6O3) 50.%</v>
      </c>
      <c r="BJ108" t="str">
        <f>TRIM(_xlfn.CONCAT(MainTbl[[#This Row],[Salt_text]]," ",MainTbl[[#This Row],[Solvent_text]]))</f>
        <v>1. M LiPF6 Fluoroethylene carbonate 50.% + DMC (C3H6O3) 50.%</v>
      </c>
    </row>
    <row r="109" spans="1:62" x14ac:dyDescent="0.25">
      <c r="A109" t="s">
        <v>19</v>
      </c>
      <c r="B109" t="s">
        <v>28</v>
      </c>
      <c r="D109" t="s">
        <v>29</v>
      </c>
      <c r="G109">
        <v>0.5</v>
      </c>
      <c r="H109">
        <v>0.5</v>
      </c>
      <c r="I109">
        <v>0</v>
      </c>
      <c r="J109">
        <v>1</v>
      </c>
      <c r="K109">
        <v>0</v>
      </c>
      <c r="L109">
        <v>0.33189999999999997</v>
      </c>
      <c r="M109">
        <f t="shared" si="2"/>
        <v>33.19</v>
      </c>
      <c r="N109">
        <f t="shared" si="3"/>
        <v>0.17515852824629935</v>
      </c>
      <c r="O109">
        <f>IFERROR(MainTbl[[#This Row],[solv_1_ratio]]*VLOOKUP(MainTbl[[#This Row],[solvent_1_smiles]],SolvTbl[],13,FALSE),0)</f>
        <v>7.4947196293520486</v>
      </c>
      <c r="P109">
        <f>IFERROR(MainTbl[[#This Row],[solv_2_ratio]]*VLOOKUP(MainTbl[[#This Row],[solvent_2_smiles]],SolvTbl[],13,FALSE),0)</f>
        <v>4.1268094472191654</v>
      </c>
      <c r="Q109">
        <f>IFERROR(MainTbl[[#This Row],[solv_3_ratio]]*VLOOKUP(MainTbl[[#This Row],[solvent_3_smiles]],SolvTbl[],13,FALSE),0)</f>
        <v>0</v>
      </c>
      <c r="R109">
        <f>IFERROR(MainTbl[[#This Row],[salt_1_conc]],0)</f>
        <v>1</v>
      </c>
      <c r="S109">
        <f>IFERROR(MainTbl[[#This Row],[salt_2_conc]],0)</f>
        <v>0</v>
      </c>
      <c r="T10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34.864587229713642</v>
      </c>
      <c r="U10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09">
        <f>MainTbl[[#This Row],[O_from_solvents]]+MainTbl[[#This Row],[O_from_salts]]</f>
        <v>34.864587229713642</v>
      </c>
      <c r="W10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43.118206124151975</v>
      </c>
      <c r="X10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09">
        <f>MainTbl[[#This Row],[C_from_solvents]]+MainTbl[[#This Row],[C_from_salts]]</f>
        <v>43.118206124151975</v>
      </c>
      <c r="Z10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0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09">
        <f>MainTbl[[#This Row],[F_from_solvents]]+MainTbl[[#This Row],[F_from_salts]]</f>
        <v>6</v>
      </c>
      <c r="AC10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71.246972989599854</v>
      </c>
      <c r="AD10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09">
        <f>MainTbl[[#This Row],[H_from_solvents]]+MainTbl[[#This Row],[H_from_salts]]</f>
        <v>71.246972989599854</v>
      </c>
      <c r="AF10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0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09">
        <f>MainTbl[[#This Row],[Li_from_solvents]]+MainTbl[[#This Row],[Li_from_salts]]</f>
        <v>1</v>
      </c>
      <c r="AI10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157.22976634346549</v>
      </c>
      <c r="AJ109" s="2">
        <f>IFERROR(MainTbl[[#This Row],[O_total]]/MainTbl[[#This Row],[TotalAtoms_all]],0)</f>
        <v>0.22174291828146969</v>
      </c>
      <c r="AK109" s="2">
        <f>IFERROR(MainTbl[[#This Row],[O_from_solvents]]/MainTbl[[#This Row],[TotalAtoms_all]],0)</f>
        <v>0.22174291828146969</v>
      </c>
      <c r="AL109" s="2">
        <f>IFERROR(MainTbl[[#This Row],[O_from_salts]]/MainTbl[[#This Row],[TotalAtoms_all]],0)</f>
        <v>0</v>
      </c>
      <c r="AM109" s="2">
        <f>IFERROR(MainTbl[[#This Row],[C_total]]/MainTbl[[#This Row],[TotalAtoms_all]],0)</f>
        <v>0.27423691535584338</v>
      </c>
      <c r="AN109" s="2">
        <f>IFERROR(MainTbl[[#This Row],[C_from_solvents]]/MainTbl[[#This Row],[TotalAtoms_all]],0)</f>
        <v>0.27423691535584338</v>
      </c>
      <c r="AO109" s="2">
        <f>IFERROR(MainTbl[[#This Row],[C_from_salts]]/MainTbl[[#This Row],[TotalAtoms_all]],0)</f>
        <v>0</v>
      </c>
      <c r="AP109" s="2">
        <f>IFERROR(MainTbl[[#This Row],[F_total]]/MainTbl[[#This Row],[TotalAtoms_all]],0)</f>
        <v>3.8160713073204677E-2</v>
      </c>
      <c r="AQ109" s="2">
        <f>IFERROR(MainTbl[[#This Row],[F_from_solvents]]/MainTbl[[#This Row],[TotalAtoms_all]],0)</f>
        <v>0</v>
      </c>
      <c r="AR109" s="2">
        <f>IFERROR(MainTbl[[#This Row],[F_from_salts]]/MainTbl[[#This Row],[TotalAtoms_all]],0)</f>
        <v>3.8160713073204677E-2</v>
      </c>
      <c r="AS109" s="2">
        <f>IFERROR(MainTbl[[#This Row],[F_total]]/MainTbl[[#This Row],[O_total]],0)</f>
        <v>0.17209439367423368</v>
      </c>
      <c r="AT109" s="2">
        <f>IFERROR(MainTbl[[#This Row],[F_total]]/MainTbl[[#This Row],[C_total]],0)</f>
        <v>0.13915235672662171</v>
      </c>
      <c r="AU109" s="2">
        <f>IFERROR(MainTbl[[#This Row],[O_total]]/MainTbl[[#This Row],[C_total]],0)</f>
        <v>0.80858157988592205</v>
      </c>
      <c r="AV109" s="2">
        <f>IFERROR((MainTbl[[#This Row],[TotalAtoms_all]]-(MainTbl[[#This Row],[C_total]]+MainTbl[[#This Row],[H_total]]+MainTbl[[#This Row],[Li_total]]))/MainTbl[[#This Row],[C_total]],0)</f>
        <v>0.97092599606698116</v>
      </c>
      <c r="AW109" t="str">
        <f>IFERROR(VLOOKUP(MainTbl[[#This Row],[salt_1_smiles]],SaltTbl[],MATCH("Salt",SaltTbl[#Headers],0),FALSE),"")</f>
        <v>LiPF6</v>
      </c>
      <c r="AX109" t="str">
        <f>IFERROR(VLOOKUP(MainTbl[[#This Row],[salt_2_smiles]],SaltTbl[],MATCH("Salt",SaltTbl[#Headers],0),FALSE),"")</f>
        <v/>
      </c>
      <c r="AY109" t="str">
        <f>IFERROR(VLOOKUP(MainTbl[[#This Row],[solvent_1_smiles]],SolvTbl[],MATCH("Solvent",SolvTbl[#Headers],0),FALSE),"")</f>
        <v>Ethylene carbonate</v>
      </c>
      <c r="AZ109" t="str">
        <f>IFERROR(VLOOKUP(MainTbl[[#This Row],[solvent_2_smiles]],SolvTbl[],MATCH("Solvent",SolvTbl[#Headers],0),FALSE),"")</f>
        <v>Diethyl Carbonate</v>
      </c>
      <c r="BA109" t="str">
        <f>IFERROR(VLOOKUP(MainTbl[[#This Row],[solvent_3_smiles]],SolvTbl[],MATCH("Solvent",SolvTbl[#Headers],0),FALSE),"")</f>
        <v/>
      </c>
      <c r="BB109">
        <f>--(MainTbl[[#This Row],[solv_1_ratio]]&gt;0)+--(MainTbl[[#This Row],[solv_2_ratio]]&gt;0)+--(MainTbl[[#This Row],[solv_3_ratio]]&gt;0)</f>
        <v>2</v>
      </c>
      <c r="BC109" t="str">
        <f>IF(AND(MainTbl[[#This Row],[SaltName1]]&lt;&gt;"",MainTbl[[#This Row],[salt_1_conc]]&gt;0),TEXT(MainTbl[[#This Row],[salt_1_conc]],"0.###")&amp;" M "&amp;MainTbl[[#This Row],[SaltName1]],"")</f>
        <v>1. M LiPF6</v>
      </c>
      <c r="BD109" t="str">
        <f>IF(AND(MainTbl[[#This Row],[SaltName2]]&lt;&gt;"",MainTbl[[#This Row],[salt_2_conc]]&gt;0),TEXT(MainTbl[[#This Row],[salt_2_conc]],"0.###")&amp;" M "&amp;MainTbl[[#This Row],[SaltName2]],"")</f>
        <v/>
      </c>
      <c r="BE10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09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50.%</v>
      </c>
      <c r="BG109" t="str">
        <f>IF(MainTbl[[#This Row],[SolvCount]]=1,MainTbl[[#This Row],[SolvName2]],IF(MainTbl[[#This Row],[solv_2_ratio]]&gt;0,MainTbl[[#This Row],[SolvName2]]&amp;" "&amp;TEXT(MainTbl[[#This Row],[solv_2_ratio]]*100,"0.##")&amp;"%",""))</f>
        <v>Diethyl Carbonate 50.%</v>
      </c>
      <c r="BH10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0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50.% + Diethyl Carbonate 50.%</v>
      </c>
      <c r="BJ109" t="str">
        <f>TRIM(_xlfn.CONCAT(MainTbl[[#This Row],[Salt_text]]," ",MainTbl[[#This Row],[Solvent_text]]))</f>
        <v>1. M LiPF6 Ethylene carbonate 50.% + Diethyl Carbonate 50.%</v>
      </c>
    </row>
    <row r="110" spans="1:62" x14ac:dyDescent="0.25">
      <c r="A110" t="s">
        <v>24</v>
      </c>
      <c r="B110" t="s">
        <v>18</v>
      </c>
      <c r="D110" t="s">
        <v>22</v>
      </c>
      <c r="G110">
        <v>0.5</v>
      </c>
      <c r="H110">
        <v>0.5</v>
      </c>
      <c r="I110">
        <v>0</v>
      </c>
      <c r="J110">
        <v>1</v>
      </c>
      <c r="K110">
        <v>0</v>
      </c>
      <c r="L110">
        <v>0.87939999999999996</v>
      </c>
      <c r="M110">
        <f t="shared" si="2"/>
        <v>87.94</v>
      </c>
      <c r="N110">
        <f t="shared" si="3"/>
        <v>0.91865269219586732</v>
      </c>
      <c r="O110">
        <f>IFERROR(MainTbl[[#This Row],[solv_1_ratio]]*VLOOKUP(MainTbl[[#This Row],[solvent_1_smiles]],SolvTbl[],13,FALSE),0)</f>
        <v>6.8549983970430155</v>
      </c>
      <c r="P110">
        <f>IFERROR(MainTbl[[#This Row],[solv_2_ratio]]*VLOOKUP(MainTbl[[#This Row],[solvent_2_smiles]],SolvTbl[],13,FALSE),0)</f>
        <v>4.8158011540168655</v>
      </c>
      <c r="Q110">
        <f>IFERROR(MainTbl[[#This Row],[solv_3_ratio]]*VLOOKUP(MainTbl[[#This Row],[solvent_3_smiles]],SolvTbl[],13,FALSE),0)</f>
        <v>0</v>
      </c>
      <c r="R110">
        <f>IFERROR(MainTbl[[#This Row],[salt_1_conc]],0)</f>
        <v>1</v>
      </c>
      <c r="S110">
        <f>IFERROR(MainTbl[[#This Row],[salt_2_conc]],0)</f>
        <v>0</v>
      </c>
      <c r="T11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30.196597499162777</v>
      </c>
      <c r="U11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10">
        <f>MainTbl[[#This Row],[O_from_solvents]]+MainTbl[[#This Row],[O_from_salts]]</f>
        <v>34.196597499162777</v>
      </c>
      <c r="W11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39.828199807196512</v>
      </c>
      <c r="X11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0">
        <f>MainTbl[[#This Row],[C_from_solvents]]+MainTbl[[#This Row],[C_from_salts]]</f>
        <v>39.828199807196512</v>
      </c>
      <c r="Z11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6.8549983970430155</v>
      </c>
      <c r="AA11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110">
        <f>MainTbl[[#This Row],[F_from_solvents]]+MainTbl[[#This Row],[F_from_salts]]</f>
        <v>8.8549983970430155</v>
      </c>
      <c r="AC11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68.723006731297701</v>
      </c>
      <c r="AD11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0">
        <f>MainTbl[[#This Row],[H_from_solvents]]+MainTbl[[#This Row],[H_from_salts]]</f>
        <v>68.723006731297701</v>
      </c>
      <c r="AF11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10">
        <f>MainTbl[[#This Row],[Li_from_solvents]]+MainTbl[[#This Row],[Li_from_salts]]</f>
        <v>1</v>
      </c>
      <c r="AI11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155.60280243470001</v>
      </c>
      <c r="AJ110" s="2">
        <f>IFERROR(MainTbl[[#This Row],[O_total]]/MainTbl[[#This Row],[TotalAtoms_all]],0)</f>
        <v>0.21976851935885705</v>
      </c>
      <c r="AK110" s="2">
        <f>IFERROR(MainTbl[[#This Row],[O_from_solvents]]/MainTbl[[#This Row],[TotalAtoms_all]],0)</f>
        <v>0.19406204147148973</v>
      </c>
      <c r="AL110" s="2">
        <f>IFERROR(MainTbl[[#This Row],[O_from_salts]]/MainTbl[[#This Row],[TotalAtoms_all]],0)</f>
        <v>2.570647788736731E-2</v>
      </c>
      <c r="AM110" s="2">
        <f>IFERROR(MainTbl[[#This Row],[C_total]]/MainTbl[[#This Row],[TotalAtoms_all]],0)</f>
        <v>0.255960684409336</v>
      </c>
      <c r="AN110" s="2">
        <f>IFERROR(MainTbl[[#This Row],[C_from_solvents]]/MainTbl[[#This Row],[TotalAtoms_all]],0)</f>
        <v>0.255960684409336</v>
      </c>
      <c r="AO110" s="2">
        <f>IFERROR(MainTbl[[#This Row],[C_from_salts]]/MainTbl[[#This Row],[TotalAtoms_all]],0)</f>
        <v>0</v>
      </c>
      <c r="AP110" s="2">
        <f>IFERROR(MainTbl[[#This Row],[F_total]]/MainTbl[[#This Row],[TotalAtoms_all]],0)</f>
        <v>5.690770512156481E-2</v>
      </c>
      <c r="AQ110" s="2">
        <f>IFERROR(MainTbl[[#This Row],[F_from_solvents]]/MainTbl[[#This Row],[TotalAtoms_all]],0)</f>
        <v>4.4054466177881155E-2</v>
      </c>
      <c r="AR110" s="2">
        <f>IFERROR(MainTbl[[#This Row],[F_from_salts]]/MainTbl[[#This Row],[TotalAtoms_all]],0)</f>
        <v>1.2853238943683655E-2</v>
      </c>
      <c r="AS110" s="2">
        <f>IFERROR(MainTbl[[#This Row],[F_total]]/MainTbl[[#This Row],[O_total]],0)</f>
        <v>0.25894384367508522</v>
      </c>
      <c r="AT110" s="2">
        <f>IFERROR(MainTbl[[#This Row],[F_total]]/MainTbl[[#This Row],[C_total]],0)</f>
        <v>0.22232986777983915</v>
      </c>
      <c r="AU110" s="2">
        <f>IFERROR(MainTbl[[#This Row],[O_total]]/MainTbl[[#This Row],[C_total]],0)</f>
        <v>0.85860263995622099</v>
      </c>
      <c r="AV110" s="2">
        <f>IFERROR((MainTbl[[#This Row],[TotalAtoms_all]]-(MainTbl[[#This Row],[C_total]]+MainTbl[[#This Row],[H_total]]+MainTbl[[#This Row],[Li_total]]))/MainTbl[[#This Row],[C_total]],0)</f>
        <v>1.1562560225954472</v>
      </c>
      <c r="AW110" t="str">
        <f>IFERROR(VLOOKUP(MainTbl[[#This Row],[salt_1_smiles]],SaltTbl[],MATCH("Salt",SaltTbl[#Headers],0),FALSE),"")</f>
        <v>LiFSI</v>
      </c>
      <c r="AX110" t="str">
        <f>IFERROR(VLOOKUP(MainTbl[[#This Row],[salt_2_smiles]],SaltTbl[],MATCH("Salt",SaltTbl[#Headers],0),FALSE),"")</f>
        <v/>
      </c>
      <c r="AY110" t="str">
        <f>IFERROR(VLOOKUP(MainTbl[[#This Row],[solvent_1_smiles]],SolvTbl[],MATCH("Solvent",SolvTbl[#Headers],0),FALSE),"")</f>
        <v>Fluoroethylene carbonate</v>
      </c>
      <c r="AZ110" t="str">
        <f>IFERROR(VLOOKUP(MainTbl[[#This Row],[solvent_2_smiles]],SolvTbl[],MATCH("Solvent",SolvTbl[#Headers],0),FALSE),"")</f>
        <v>DME (C4H10O2)</v>
      </c>
      <c r="BA110" t="str">
        <f>IFERROR(VLOOKUP(MainTbl[[#This Row],[solvent_3_smiles]],SolvTbl[],MATCH("Solvent",SolvTbl[#Headers],0),FALSE),"")</f>
        <v/>
      </c>
      <c r="BB110">
        <f>--(MainTbl[[#This Row],[solv_1_ratio]]&gt;0)+--(MainTbl[[#This Row],[solv_2_ratio]]&gt;0)+--(MainTbl[[#This Row],[solv_3_ratio]]&gt;0)</f>
        <v>2</v>
      </c>
      <c r="BC110" t="str">
        <f>IF(AND(MainTbl[[#This Row],[SaltName1]]&lt;&gt;"",MainTbl[[#This Row],[salt_1_conc]]&gt;0),TEXT(MainTbl[[#This Row],[salt_1_conc]],"0.###")&amp;" M "&amp;MainTbl[[#This Row],[SaltName1]],"")</f>
        <v>1. M LiFSI</v>
      </c>
      <c r="BD110" t="str">
        <f>IF(AND(MainTbl[[#This Row],[SaltName2]]&lt;&gt;"",MainTbl[[#This Row],[salt_2_conc]]&gt;0),TEXT(MainTbl[[#This Row],[salt_2_conc]],"0.###")&amp;" M "&amp;MainTbl[[#This Row],[SaltName2]],"")</f>
        <v/>
      </c>
      <c r="BE11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110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50.%</v>
      </c>
      <c r="BG110" t="str">
        <f>IF(MainTbl[[#This Row],[SolvCount]]=1,MainTbl[[#This Row],[SolvName2]],IF(MainTbl[[#This Row],[solv_2_ratio]]&gt;0,MainTbl[[#This Row],[SolvName2]]&amp;" "&amp;TEXT(MainTbl[[#This Row],[solv_2_ratio]]*100,"0.##")&amp;"%",""))</f>
        <v>DME (C4H10O2) 50.%</v>
      </c>
      <c r="BH11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1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50.% + DME (C4H10O2) 50.%</v>
      </c>
      <c r="BJ110" t="str">
        <f>TRIM(_xlfn.CONCAT(MainTbl[[#This Row],[Salt_text]]," ",MainTbl[[#This Row],[Solvent_text]]))</f>
        <v>1. M LiFSI Fluoroethylene carbonate 50.% + DME (C4H10O2) 50.%</v>
      </c>
    </row>
    <row r="111" spans="1:62" x14ac:dyDescent="0.25">
      <c r="A111" t="s">
        <v>24</v>
      </c>
      <c r="B111" t="s">
        <v>18</v>
      </c>
      <c r="D111" t="s">
        <v>22</v>
      </c>
      <c r="G111">
        <v>0.5</v>
      </c>
      <c r="H111">
        <v>0.5</v>
      </c>
      <c r="I111">
        <v>0</v>
      </c>
      <c r="J111">
        <v>4</v>
      </c>
      <c r="K111">
        <v>0</v>
      </c>
      <c r="L111">
        <v>0.97570000000000001</v>
      </c>
      <c r="M111">
        <f t="shared" si="2"/>
        <v>97.570000000000007</v>
      </c>
      <c r="N111">
        <f t="shared" si="3"/>
        <v>1.6143937264016881</v>
      </c>
      <c r="O111">
        <f>IFERROR(MainTbl[[#This Row],[solv_1_ratio]]*VLOOKUP(MainTbl[[#This Row],[solvent_1_smiles]],SolvTbl[],13,FALSE),0)</f>
        <v>6.8549983970430155</v>
      </c>
      <c r="P111">
        <f>IFERROR(MainTbl[[#This Row],[solv_2_ratio]]*VLOOKUP(MainTbl[[#This Row],[solvent_2_smiles]],SolvTbl[],13,FALSE),0)</f>
        <v>4.8158011540168655</v>
      </c>
      <c r="Q111">
        <f>IFERROR(MainTbl[[#This Row],[solv_3_ratio]]*VLOOKUP(MainTbl[[#This Row],[solvent_3_smiles]],SolvTbl[],13,FALSE),0)</f>
        <v>0</v>
      </c>
      <c r="R111">
        <f>IFERROR(MainTbl[[#This Row],[salt_1_conc]],0)</f>
        <v>4</v>
      </c>
      <c r="S111">
        <f>IFERROR(MainTbl[[#This Row],[salt_2_conc]],0)</f>
        <v>0</v>
      </c>
      <c r="T11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30.196597499162777</v>
      </c>
      <c r="U11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16</v>
      </c>
      <c r="V111">
        <f>MainTbl[[#This Row],[O_from_solvents]]+MainTbl[[#This Row],[O_from_salts]]</f>
        <v>46.196597499162777</v>
      </c>
      <c r="W11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39.828199807196512</v>
      </c>
      <c r="X11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1">
        <f>MainTbl[[#This Row],[C_from_solvents]]+MainTbl[[#This Row],[C_from_salts]]</f>
        <v>39.828199807196512</v>
      </c>
      <c r="Z11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6.8549983970430155</v>
      </c>
      <c r="AA11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8</v>
      </c>
      <c r="AB111">
        <f>MainTbl[[#This Row],[F_from_solvents]]+MainTbl[[#This Row],[F_from_salts]]</f>
        <v>14.854998397043016</v>
      </c>
      <c r="AC11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68.723006731297701</v>
      </c>
      <c r="AD11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1">
        <f>MainTbl[[#This Row],[H_from_solvents]]+MainTbl[[#This Row],[H_from_salts]]</f>
        <v>68.723006731297701</v>
      </c>
      <c r="AF11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4</v>
      </c>
      <c r="AH111">
        <f>MainTbl[[#This Row],[Li_from_solvents]]+MainTbl[[#This Row],[Li_from_salts]]</f>
        <v>4</v>
      </c>
      <c r="AI11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185.60280243470001</v>
      </c>
      <c r="AJ111" s="2">
        <f>IFERROR(MainTbl[[#This Row],[O_total]]/MainTbl[[#This Row],[TotalAtoms_all]],0)</f>
        <v>0.24890032312640303</v>
      </c>
      <c r="AK111" s="2">
        <f>IFERROR(MainTbl[[#This Row],[O_from_solvents]]/MainTbl[[#This Row],[TotalAtoms_all]],0)</f>
        <v>0.16269472822096392</v>
      </c>
      <c r="AL111" s="2">
        <f>IFERROR(MainTbl[[#This Row],[O_from_salts]]/MainTbl[[#This Row],[TotalAtoms_all]],0)</f>
        <v>8.6205594905439123E-2</v>
      </c>
      <c r="AM111" s="2">
        <f>IFERROR(MainTbl[[#This Row],[C_total]]/MainTbl[[#This Row],[TotalAtoms_all]],0)</f>
        <v>0.21458835364950446</v>
      </c>
      <c r="AN111" s="2">
        <f>IFERROR(MainTbl[[#This Row],[C_from_solvents]]/MainTbl[[#This Row],[TotalAtoms_all]],0)</f>
        <v>0.21458835364950446</v>
      </c>
      <c r="AO111" s="2">
        <f>IFERROR(MainTbl[[#This Row],[C_from_salts]]/MainTbl[[#This Row],[TotalAtoms_all]],0)</f>
        <v>0</v>
      </c>
      <c r="AP111" s="2">
        <f>IFERROR(MainTbl[[#This Row],[F_total]]/MainTbl[[#This Row],[TotalAtoms_all]],0)</f>
        <v>8.003649838352736E-2</v>
      </c>
      <c r="AQ111" s="2">
        <f>IFERROR(MainTbl[[#This Row],[F_from_solvents]]/MainTbl[[#This Row],[TotalAtoms_all]],0)</f>
        <v>3.6933700930807799E-2</v>
      </c>
      <c r="AR111" s="2">
        <f>IFERROR(MainTbl[[#This Row],[F_from_salts]]/MainTbl[[#This Row],[TotalAtoms_all]],0)</f>
        <v>4.3102797452719561E-2</v>
      </c>
      <c r="AS111" s="2">
        <f>IFERROR(MainTbl[[#This Row],[F_total]]/MainTbl[[#This Row],[O_total]],0)</f>
        <v>0.32156044386845228</v>
      </c>
      <c r="AT111" s="2">
        <f>IFERROR(MainTbl[[#This Row],[F_total]]/MainTbl[[#This Row],[C_total]],0)</f>
        <v>0.37297689749861312</v>
      </c>
      <c r="AU111" s="2">
        <f>IFERROR(MainTbl[[#This Row],[O_total]]/MainTbl[[#This Row],[C_total]],0)</f>
        <v>1.1598966993937689</v>
      </c>
      <c r="AV111" s="2">
        <f>IFERROR((MainTbl[[#This Row],[TotalAtoms_all]]-(MainTbl[[#This Row],[C_total]]+MainTbl[[#This Row],[H_total]]+MainTbl[[#This Row],[Li_total]]))/MainTbl[[#This Row],[C_total]],0)</f>
        <v>1.8341676563299301</v>
      </c>
      <c r="AW111" t="str">
        <f>IFERROR(VLOOKUP(MainTbl[[#This Row],[salt_1_smiles]],SaltTbl[],MATCH("Salt",SaltTbl[#Headers],0),FALSE),"")</f>
        <v>LiFSI</v>
      </c>
      <c r="AX111" t="str">
        <f>IFERROR(VLOOKUP(MainTbl[[#This Row],[salt_2_smiles]],SaltTbl[],MATCH("Salt",SaltTbl[#Headers],0),FALSE),"")</f>
        <v/>
      </c>
      <c r="AY111" t="str">
        <f>IFERROR(VLOOKUP(MainTbl[[#This Row],[solvent_1_smiles]],SolvTbl[],MATCH("Solvent",SolvTbl[#Headers],0),FALSE),"")</f>
        <v>Fluoroethylene carbonate</v>
      </c>
      <c r="AZ111" t="str">
        <f>IFERROR(VLOOKUP(MainTbl[[#This Row],[solvent_2_smiles]],SolvTbl[],MATCH("Solvent",SolvTbl[#Headers],0),FALSE),"")</f>
        <v>DME (C4H10O2)</v>
      </c>
      <c r="BA111" t="str">
        <f>IFERROR(VLOOKUP(MainTbl[[#This Row],[solvent_3_smiles]],SolvTbl[],MATCH("Solvent",SolvTbl[#Headers],0),FALSE),"")</f>
        <v/>
      </c>
      <c r="BB111">
        <f>--(MainTbl[[#This Row],[solv_1_ratio]]&gt;0)+--(MainTbl[[#This Row],[solv_2_ratio]]&gt;0)+--(MainTbl[[#This Row],[solv_3_ratio]]&gt;0)</f>
        <v>2</v>
      </c>
      <c r="BC111" t="str">
        <f>IF(AND(MainTbl[[#This Row],[SaltName1]]&lt;&gt;"",MainTbl[[#This Row],[salt_1_conc]]&gt;0),TEXT(MainTbl[[#This Row],[salt_1_conc]],"0.###")&amp;" M "&amp;MainTbl[[#This Row],[SaltName1]],"")</f>
        <v>4. M LiFSI</v>
      </c>
      <c r="BD111" t="str">
        <f>IF(AND(MainTbl[[#This Row],[SaltName2]]&lt;&gt;"",MainTbl[[#This Row],[salt_2_conc]]&gt;0),TEXT(MainTbl[[#This Row],[salt_2_conc]],"0.###")&amp;" M "&amp;MainTbl[[#This Row],[SaltName2]],"")</f>
        <v/>
      </c>
      <c r="BE11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4. M LiFSI</v>
      </c>
      <c r="BF111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50.%</v>
      </c>
      <c r="BG111" t="str">
        <f>IF(MainTbl[[#This Row],[SolvCount]]=1,MainTbl[[#This Row],[SolvName2]],IF(MainTbl[[#This Row],[solv_2_ratio]]&gt;0,MainTbl[[#This Row],[SolvName2]]&amp;" "&amp;TEXT(MainTbl[[#This Row],[solv_2_ratio]]*100,"0.##")&amp;"%",""))</f>
        <v>DME (C4H10O2) 50.%</v>
      </c>
      <c r="BH11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1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50.% + DME (C4H10O2) 50.%</v>
      </c>
      <c r="BJ111" t="str">
        <f>TRIM(_xlfn.CONCAT(MainTbl[[#This Row],[Salt_text]]," ",MainTbl[[#This Row],[Solvent_text]]))</f>
        <v>4. M LiFSI Fluoroethylene carbonate 50.% + DME (C4H10O2) 50.%</v>
      </c>
    </row>
    <row r="112" spans="1:62" x14ac:dyDescent="0.25">
      <c r="A112" t="s">
        <v>24</v>
      </c>
      <c r="B112" t="s">
        <v>18</v>
      </c>
      <c r="C112" t="s">
        <v>51</v>
      </c>
      <c r="D112" t="s">
        <v>22</v>
      </c>
      <c r="G112">
        <v>0.33333333300000001</v>
      </c>
      <c r="H112">
        <v>0.33333333300000001</v>
      </c>
      <c r="I112">
        <v>0.33333333300000001</v>
      </c>
      <c r="J112">
        <v>1.6</v>
      </c>
      <c r="K112">
        <v>0</v>
      </c>
      <c r="L112">
        <v>0.98340000000000005</v>
      </c>
      <c r="M112">
        <f t="shared" si="2"/>
        <v>98.34</v>
      </c>
      <c r="N112">
        <f t="shared" si="3"/>
        <v>1.7798919119599463</v>
      </c>
      <c r="O112">
        <f>IFERROR(MainTbl[[#This Row],[solv_1_ratio]]*VLOOKUP(MainTbl[[#This Row],[solvent_1_smiles]],SolvTbl[],13,FALSE),0)</f>
        <v>4.5699989267920111</v>
      </c>
      <c r="P112">
        <f>IFERROR(MainTbl[[#This Row],[solv_2_ratio]]*VLOOKUP(MainTbl[[#This Row],[solvent_2_smiles]],SolvTbl[],13,FALSE),0)</f>
        <v>3.2105340994673761</v>
      </c>
      <c r="Q112">
        <f>IFERROR(MainTbl[[#This Row],[solv_3_ratio]]*VLOOKUP(MainTbl[[#This Row],[solvent_3_smiles]],SolvTbl[],13,FALSE),0)</f>
        <v>2.2008025876884036</v>
      </c>
      <c r="R112">
        <f>IFERROR(MainTbl[[#This Row],[salt_1_conc]],0)</f>
        <v>1.6</v>
      </c>
      <c r="S112">
        <f>IFERROR(MainTbl[[#This Row],[salt_2_conc]],0)</f>
        <v>0</v>
      </c>
      <c r="T11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22.33186756699919</v>
      </c>
      <c r="U11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6.4</v>
      </c>
      <c r="V112">
        <f>MainTbl[[#This Row],[O_from_solvents]]+MainTbl[[#This Row],[O_from_salts]]</f>
        <v>28.731867566999192</v>
      </c>
      <c r="W11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37.556146116687557</v>
      </c>
      <c r="X11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2">
        <f>MainTbl[[#This Row],[C_from_solvents]]+MainTbl[[#This Row],[C_from_salts]]</f>
        <v>37.556146116687557</v>
      </c>
      <c r="Z11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22.176419628299239</v>
      </c>
      <c r="AA11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3.2</v>
      </c>
      <c r="AB112">
        <f>MainTbl[[#This Row],[F_from_solvents]]+MainTbl[[#This Row],[F_from_salts]]</f>
        <v>25.376419628299239</v>
      </c>
      <c r="AC11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54.618548125803414</v>
      </c>
      <c r="AD11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2">
        <f>MainTbl[[#This Row],[H_from_solvents]]+MainTbl[[#This Row],[H_from_salts]]</f>
        <v>54.618548125803414</v>
      </c>
      <c r="AF11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1.6</v>
      </c>
      <c r="AH112">
        <f>MainTbl[[#This Row],[Li_from_solvents]]+MainTbl[[#This Row],[Li_from_salts]]</f>
        <v>1.6</v>
      </c>
      <c r="AI11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152.68298143778941</v>
      </c>
      <c r="AJ112" s="2">
        <f>IFERROR(MainTbl[[#This Row],[O_total]]/MainTbl[[#This Row],[TotalAtoms_all]],0)</f>
        <v>0.18817989599388307</v>
      </c>
      <c r="AK112" s="2">
        <f>IFERROR(MainTbl[[#This Row],[O_from_solvents]]/MainTbl[[#This Row],[TotalAtoms_all]],0)</f>
        <v>0.14626297807852473</v>
      </c>
      <c r="AL112" s="2">
        <f>IFERROR(MainTbl[[#This Row],[O_from_salts]]/MainTbl[[#This Row],[TotalAtoms_all]],0)</f>
        <v>4.1916917915358343E-2</v>
      </c>
      <c r="AM112" s="2">
        <f>IFERROR(MainTbl[[#This Row],[C_total]]/MainTbl[[#This Row],[TotalAtoms_all]],0)</f>
        <v>0.24597467093599942</v>
      </c>
      <c r="AN112" s="2">
        <f>IFERROR(MainTbl[[#This Row],[C_from_solvents]]/MainTbl[[#This Row],[TotalAtoms_all]],0)</f>
        <v>0.24597467093599942</v>
      </c>
      <c r="AO112" s="2">
        <f>IFERROR(MainTbl[[#This Row],[C_from_salts]]/MainTbl[[#This Row],[TotalAtoms_all]],0)</f>
        <v>0</v>
      </c>
      <c r="AP112" s="2">
        <f>IFERROR(MainTbl[[#This Row],[F_total]]/MainTbl[[#This Row],[TotalAtoms_all]],0)</f>
        <v>0.16620332789767303</v>
      </c>
      <c r="AQ112" s="2">
        <f>IFERROR(MainTbl[[#This Row],[F_from_solvents]]/MainTbl[[#This Row],[TotalAtoms_all]],0)</f>
        <v>0.14524486893999386</v>
      </c>
      <c r="AR112" s="2">
        <f>IFERROR(MainTbl[[#This Row],[F_from_salts]]/MainTbl[[#This Row],[TotalAtoms_all]],0)</f>
        <v>2.0958458957679171E-2</v>
      </c>
      <c r="AS112" s="2">
        <f>IFERROR(MainTbl[[#This Row],[F_total]]/MainTbl[[#This Row],[O_total]],0)</f>
        <v>0.88321511190055924</v>
      </c>
      <c r="AT112" s="2">
        <f>IFERROR(MainTbl[[#This Row],[F_total]]/MainTbl[[#This Row],[C_total]],0)</f>
        <v>0.67569285595636708</v>
      </c>
      <c r="AU112" s="2">
        <f>IFERROR(MainTbl[[#This Row],[O_total]]/MainTbl[[#This Row],[C_total]],0)</f>
        <v>0.76503769789713805</v>
      </c>
      <c r="AV112" s="2">
        <f>IFERROR((MainTbl[[#This Row],[TotalAtoms_all]]-(MainTbl[[#This Row],[C_total]]+MainTbl[[#This Row],[H_total]]+MainTbl[[#This Row],[Li_total]]))/MainTbl[[#This Row],[C_total]],0)</f>
        <v>1.5685391949501271</v>
      </c>
      <c r="AW112" t="str">
        <f>IFERROR(VLOOKUP(MainTbl[[#This Row],[salt_1_smiles]],SaltTbl[],MATCH("Salt",SaltTbl[#Headers],0),FALSE),"")</f>
        <v>LiFSI</v>
      </c>
      <c r="AX112" t="str">
        <f>IFERROR(VLOOKUP(MainTbl[[#This Row],[salt_2_smiles]],SaltTbl[],MATCH("Salt",SaltTbl[#Headers],0),FALSE),"")</f>
        <v/>
      </c>
      <c r="AY112" t="str">
        <f>IFERROR(VLOOKUP(MainTbl[[#This Row],[solvent_1_smiles]],SolvTbl[],MATCH("Solvent",SolvTbl[#Headers],0),FALSE),"")</f>
        <v>Fluoroethylene carbonate</v>
      </c>
      <c r="AZ112" t="str">
        <f>IFERROR(VLOOKUP(MainTbl[[#This Row],[solvent_2_smiles]],SolvTbl[],MATCH("Solvent",SolvTbl[#Headers],0),FALSE),"")</f>
        <v>DME (C4H10O2)</v>
      </c>
      <c r="BA112" t="str">
        <f>IFERROR(VLOOKUP(MainTbl[[#This Row],[solvent_3_smiles]],SolvTbl[],MATCH("Solvent",SolvTbl[#Headers],0),FALSE),"")</f>
        <v>TTE (C5H4F8O)</v>
      </c>
      <c r="BB112">
        <f>--(MainTbl[[#This Row],[solv_1_ratio]]&gt;0)+--(MainTbl[[#This Row],[solv_2_ratio]]&gt;0)+--(MainTbl[[#This Row],[solv_3_ratio]]&gt;0)</f>
        <v>3</v>
      </c>
      <c r="BC112" t="str">
        <f>IF(AND(MainTbl[[#This Row],[SaltName1]]&lt;&gt;"",MainTbl[[#This Row],[salt_1_conc]]&gt;0),TEXT(MainTbl[[#This Row],[salt_1_conc]],"0.###")&amp;" M "&amp;MainTbl[[#This Row],[SaltName1]],"")</f>
        <v>1.6 M LiFSI</v>
      </c>
      <c r="BD112" t="str">
        <f>IF(AND(MainTbl[[#This Row],[SaltName2]]&lt;&gt;"",MainTbl[[#This Row],[salt_2_conc]]&gt;0),TEXT(MainTbl[[#This Row],[salt_2_conc]],"0.###")&amp;" M "&amp;MainTbl[[#This Row],[SaltName2]],"")</f>
        <v/>
      </c>
      <c r="BE11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1.6 M LiFSI</v>
      </c>
      <c r="BF112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33.33%</v>
      </c>
      <c r="BG112" t="str">
        <f>IF(MainTbl[[#This Row],[SolvCount]]=1,MainTbl[[#This Row],[SolvName2]],IF(MainTbl[[#This Row],[solv_2_ratio]]&gt;0,MainTbl[[#This Row],[SolvName2]]&amp;" "&amp;TEXT(MainTbl[[#This Row],[solv_2_ratio]]*100,"0.##")&amp;"%",""))</f>
        <v>DME (C4H10O2) 33.33%</v>
      </c>
      <c r="BH112" t="str">
        <f>IF(MainTbl[[#This Row],[SolvCount]]=1,MainTbl[[#This Row],[SolvName3]],IF(MainTbl[[#This Row],[solv_3_ratio]]&gt;0,MainTbl[[#This Row],[SolvName3]]&amp;" "&amp;TEXT(MainTbl[[#This Row],[solv_3_ratio]]*100,"0.##")&amp;"%",""))</f>
        <v>TTE (C5H4F8O) 33.33%</v>
      </c>
      <c r="BI11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33.33% + DME (C4H10O2) 33.33% + TTE (C5H4F8O) 33.33%</v>
      </c>
      <c r="BJ112" t="str">
        <f>TRIM(_xlfn.CONCAT(MainTbl[[#This Row],[Salt_text]]," ",MainTbl[[#This Row],[Solvent_text]]))</f>
        <v>1.6 M LiFSI Fluoroethylene carbonate 33.33% + DME (C4H10O2) 33.33% + TTE (C5H4F8O) 33.33%</v>
      </c>
    </row>
    <row r="113" spans="1:62" x14ac:dyDescent="0.25">
      <c r="A113" t="s">
        <v>19</v>
      </c>
      <c r="B113" t="s">
        <v>27</v>
      </c>
      <c r="C113" t="s">
        <v>49</v>
      </c>
      <c r="D113" t="s">
        <v>29</v>
      </c>
      <c r="F113" t="s">
        <v>33</v>
      </c>
      <c r="G113">
        <v>0.2</v>
      </c>
      <c r="H113">
        <v>0.6</v>
      </c>
      <c r="I113">
        <v>0.2</v>
      </c>
      <c r="J113">
        <v>1</v>
      </c>
      <c r="K113">
        <v>0</v>
      </c>
      <c r="L113">
        <v>0.98199999999999998</v>
      </c>
      <c r="M113">
        <f t="shared" si="2"/>
        <v>98.2</v>
      </c>
      <c r="N113">
        <f t="shared" si="3"/>
        <v>1.7447274948966935</v>
      </c>
      <c r="O113">
        <f>IFERROR(MainTbl[[#This Row],[solv_1_ratio]]*VLOOKUP(MainTbl[[#This Row],[solvent_1_smiles]],SolvTbl[],13,FALSE),0)</f>
        <v>2.9978878517408196</v>
      </c>
      <c r="P113">
        <f>IFERROR(MainTbl[[#This Row],[solv_2_ratio]]*VLOOKUP(MainTbl[[#This Row],[solvent_2_smiles]],SolvTbl[],13,FALSE),0)</f>
        <v>7.1271564643975216</v>
      </c>
      <c r="Q113">
        <f>IFERROR(MainTbl[[#This Row],[solv_3_ratio]]*VLOOKUP(MainTbl[[#This Row],[solvent_3_smiles]],SolvTbl[],13,FALSE),0)</f>
        <v>0.90788029296910144</v>
      </c>
      <c r="R113">
        <f>IFERROR(MainTbl[[#This Row],[salt_1_conc]],0)</f>
        <v>1</v>
      </c>
      <c r="S113">
        <f>IFERROR(MainTbl[[#This Row],[salt_2_conc]],0)</f>
        <v>0</v>
      </c>
      <c r="T11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34.914534413260526</v>
      </c>
      <c r="U11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13">
        <f>MainTbl[[#This Row],[O_from_solvents]]+MainTbl[[#This Row],[O_from_salts]]</f>
        <v>34.914534413260526</v>
      </c>
      <c r="W11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39.453935878106037</v>
      </c>
      <c r="X11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3">
        <f>MainTbl[[#This Row],[C_from_solvents]]+MainTbl[[#This Row],[C_from_salts]]</f>
        <v>39.453935878106037</v>
      </c>
      <c r="Z11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1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13">
        <f>MainTbl[[#This Row],[F_from_solvents]]+MainTbl[[#This Row],[F_from_salts]]</f>
        <v>6</v>
      </c>
      <c r="AC11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74.727856638668641</v>
      </c>
      <c r="AD11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3">
        <f>MainTbl[[#This Row],[H_from_solvents]]+MainTbl[[#This Row],[H_from_salts]]</f>
        <v>74.727856638668641</v>
      </c>
      <c r="AF11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13">
        <f>MainTbl[[#This Row],[Li_from_solvents]]+MainTbl[[#This Row],[Li_from_salts]]</f>
        <v>1</v>
      </c>
      <c r="AI11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157.09632693003522</v>
      </c>
      <c r="AJ113" s="2">
        <f>IFERROR(MainTbl[[#This Row],[O_total]]/MainTbl[[#This Row],[TotalAtoms_all]],0)</f>
        <v>0.22224920910347026</v>
      </c>
      <c r="AK113" s="2">
        <f>IFERROR(MainTbl[[#This Row],[O_from_solvents]]/MainTbl[[#This Row],[TotalAtoms_all]],0)</f>
        <v>0.22224920910347026</v>
      </c>
      <c r="AL113" s="2">
        <f>IFERROR(MainTbl[[#This Row],[O_from_salts]]/MainTbl[[#This Row],[TotalAtoms_all]],0)</f>
        <v>0</v>
      </c>
      <c r="AM113" s="2">
        <f>IFERROR(MainTbl[[#This Row],[C_total]]/MainTbl[[#This Row],[TotalAtoms_all]],0)</f>
        <v>0.25114486537726199</v>
      </c>
      <c r="AN113" s="2">
        <f>IFERROR(MainTbl[[#This Row],[C_from_solvents]]/MainTbl[[#This Row],[TotalAtoms_all]],0)</f>
        <v>0.25114486537726199</v>
      </c>
      <c r="AO113" s="2">
        <f>IFERROR(MainTbl[[#This Row],[C_from_salts]]/MainTbl[[#This Row],[TotalAtoms_all]],0)</f>
        <v>0</v>
      </c>
      <c r="AP113" s="2">
        <f>IFERROR(MainTbl[[#This Row],[F_total]]/MainTbl[[#This Row],[TotalAtoms_all]],0)</f>
        <v>3.8193127218513354E-2</v>
      </c>
      <c r="AQ113" s="2">
        <f>IFERROR(MainTbl[[#This Row],[F_from_solvents]]/MainTbl[[#This Row],[TotalAtoms_all]],0)</f>
        <v>0</v>
      </c>
      <c r="AR113" s="2">
        <f>IFERROR(MainTbl[[#This Row],[F_from_salts]]/MainTbl[[#This Row],[TotalAtoms_all]],0)</f>
        <v>3.8193127218513354E-2</v>
      </c>
      <c r="AS113" s="2">
        <f>IFERROR(MainTbl[[#This Row],[F_total]]/MainTbl[[#This Row],[O_total]],0)</f>
        <v>0.17184820307158966</v>
      </c>
      <c r="AT113" s="2">
        <f>IFERROR(MainTbl[[#This Row],[F_total]]/MainTbl[[#This Row],[C_total]],0)</f>
        <v>0.152076082308674</v>
      </c>
      <c r="AU113" s="2">
        <f>IFERROR(MainTbl[[#This Row],[O_total]]/MainTbl[[#This Row],[C_total]],0)</f>
        <v>0.88494426820000649</v>
      </c>
      <c r="AV113" s="2">
        <f>IFERROR((MainTbl[[#This Row],[TotalAtoms_all]]-(MainTbl[[#This Row],[C_total]]+MainTbl[[#This Row],[H_total]]+MainTbl[[#This Row],[Li_total]]))/MainTbl[[#This Row],[C_total]],0)</f>
        <v>1.0623663642267931</v>
      </c>
      <c r="AW113" t="str">
        <f>IFERROR(VLOOKUP(MainTbl[[#This Row],[salt_1_smiles]],SaltTbl[],MATCH("Salt",SaltTbl[#Headers],0),FALSE),"")</f>
        <v>LiPF6</v>
      </c>
      <c r="AX113" t="str">
        <f>IFERROR(VLOOKUP(MainTbl[[#This Row],[salt_2_smiles]],SaltTbl[],MATCH("Salt",SaltTbl[#Headers],0),FALSE),"")</f>
        <v/>
      </c>
      <c r="AY113" t="str">
        <f>IFERROR(VLOOKUP(MainTbl[[#This Row],[solvent_1_smiles]],SolvTbl[],MATCH("Solvent",SolvTbl[#Headers],0),FALSE),"")</f>
        <v>Ethylene carbonate</v>
      </c>
      <c r="AZ113" t="str">
        <f>IFERROR(VLOOKUP(MainTbl[[#This Row],[solvent_2_smiles]],SolvTbl[],MATCH("Solvent",SolvTbl[#Headers],0),FALSE),"")</f>
        <v>DMC (C3H6O3)</v>
      </c>
      <c r="BA113" t="str">
        <f>IFERROR(VLOOKUP(MainTbl[[#This Row],[solvent_3_smiles]],SolvTbl[],MATCH("Solvent",SolvTbl[#Headers],0),FALSE),"")</f>
        <v>Tetraglyme</v>
      </c>
      <c r="BB113">
        <f>--(MainTbl[[#This Row],[solv_1_ratio]]&gt;0)+--(MainTbl[[#This Row],[solv_2_ratio]]&gt;0)+--(MainTbl[[#This Row],[solv_3_ratio]]&gt;0)</f>
        <v>3</v>
      </c>
      <c r="BC113" t="str">
        <f>IF(AND(MainTbl[[#This Row],[SaltName1]]&lt;&gt;"",MainTbl[[#This Row],[salt_1_conc]]&gt;0),TEXT(MainTbl[[#This Row],[salt_1_conc]],"0.###")&amp;" M "&amp;MainTbl[[#This Row],[SaltName1]],"")</f>
        <v>1. M LiPF6</v>
      </c>
      <c r="BD113" t="str">
        <f>IF(AND(MainTbl[[#This Row],[SaltName2]]&lt;&gt;"",MainTbl[[#This Row],[salt_2_conc]]&gt;0),TEXT(MainTbl[[#This Row],[salt_2_conc]],"0.###")&amp;" M "&amp;MainTbl[[#This Row],[SaltName2]],"")</f>
        <v/>
      </c>
      <c r="BE11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13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20.%</v>
      </c>
      <c r="BG113" t="str">
        <f>IF(MainTbl[[#This Row],[SolvCount]]=1,MainTbl[[#This Row],[SolvName2]],IF(MainTbl[[#This Row],[solv_2_ratio]]&gt;0,MainTbl[[#This Row],[SolvName2]]&amp;" "&amp;TEXT(MainTbl[[#This Row],[solv_2_ratio]]*100,"0.##")&amp;"%",""))</f>
        <v>DMC (C3H6O3) 60.%</v>
      </c>
      <c r="BH113" t="str">
        <f>IF(MainTbl[[#This Row],[SolvCount]]=1,MainTbl[[#This Row],[SolvName3]],IF(MainTbl[[#This Row],[solv_3_ratio]]&gt;0,MainTbl[[#This Row],[SolvName3]]&amp;" "&amp;TEXT(MainTbl[[#This Row],[solv_3_ratio]]*100,"0.##")&amp;"%",""))</f>
        <v>Tetraglyme 20.%</v>
      </c>
      <c r="BI11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20.% + DMC (C3H6O3) 60.% + Tetraglyme 20.%</v>
      </c>
      <c r="BJ113" t="str">
        <f>TRIM(_xlfn.CONCAT(MainTbl[[#This Row],[Salt_text]]," ",MainTbl[[#This Row],[Solvent_text]]))</f>
        <v>1. M LiPF6 Ethylene carbonate 20.% + DMC (C3H6O3) 60.% + Tetraglyme 20.%</v>
      </c>
    </row>
    <row r="114" spans="1:62" x14ac:dyDescent="0.25">
      <c r="A114" t="s">
        <v>19</v>
      </c>
      <c r="B114" t="s">
        <v>27</v>
      </c>
      <c r="C114" t="s">
        <v>49</v>
      </c>
      <c r="D114" t="s">
        <v>29</v>
      </c>
      <c r="F114" t="s">
        <v>33</v>
      </c>
      <c r="G114">
        <v>0.2</v>
      </c>
      <c r="H114">
        <v>0.6</v>
      </c>
      <c r="I114">
        <v>0.2</v>
      </c>
      <c r="J114">
        <v>1</v>
      </c>
      <c r="K114">
        <v>0</v>
      </c>
      <c r="L114">
        <v>0.98</v>
      </c>
      <c r="M114">
        <f t="shared" si="2"/>
        <v>98</v>
      </c>
      <c r="N114">
        <f t="shared" si="3"/>
        <v>1.6989700043360185</v>
      </c>
      <c r="O114">
        <f>IFERROR(MainTbl[[#This Row],[solv_1_ratio]]*VLOOKUP(MainTbl[[#This Row],[solvent_1_smiles]],SolvTbl[],13,FALSE),0)</f>
        <v>2.9978878517408196</v>
      </c>
      <c r="P114">
        <f>IFERROR(MainTbl[[#This Row],[solv_2_ratio]]*VLOOKUP(MainTbl[[#This Row],[solvent_2_smiles]],SolvTbl[],13,FALSE),0)</f>
        <v>7.1271564643975216</v>
      </c>
      <c r="Q114">
        <f>IFERROR(MainTbl[[#This Row],[solv_3_ratio]]*VLOOKUP(MainTbl[[#This Row],[solvent_3_smiles]],SolvTbl[],13,FALSE),0)</f>
        <v>0.90788029296910144</v>
      </c>
      <c r="R114">
        <f>IFERROR(MainTbl[[#This Row],[salt_1_conc]],0)</f>
        <v>1</v>
      </c>
      <c r="S114">
        <f>IFERROR(MainTbl[[#This Row],[salt_2_conc]],0)</f>
        <v>0</v>
      </c>
      <c r="T11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34.914534413260526</v>
      </c>
      <c r="U11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14">
        <f>MainTbl[[#This Row],[O_from_solvents]]+MainTbl[[#This Row],[O_from_salts]]</f>
        <v>34.914534413260526</v>
      </c>
      <c r="W11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39.453935878106037</v>
      </c>
      <c r="X11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4">
        <f>MainTbl[[#This Row],[C_from_solvents]]+MainTbl[[#This Row],[C_from_salts]]</f>
        <v>39.453935878106037</v>
      </c>
      <c r="Z11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1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14">
        <f>MainTbl[[#This Row],[F_from_solvents]]+MainTbl[[#This Row],[F_from_salts]]</f>
        <v>6</v>
      </c>
      <c r="AC11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74.727856638668641</v>
      </c>
      <c r="AD11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4">
        <f>MainTbl[[#This Row],[H_from_solvents]]+MainTbl[[#This Row],[H_from_salts]]</f>
        <v>74.727856638668641</v>
      </c>
      <c r="AF11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14">
        <f>MainTbl[[#This Row],[Li_from_solvents]]+MainTbl[[#This Row],[Li_from_salts]]</f>
        <v>1</v>
      </c>
      <c r="AI11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157.09632693003522</v>
      </c>
      <c r="AJ114" s="2">
        <f>IFERROR(MainTbl[[#This Row],[O_total]]/MainTbl[[#This Row],[TotalAtoms_all]],0)</f>
        <v>0.22224920910347026</v>
      </c>
      <c r="AK114" s="2">
        <f>IFERROR(MainTbl[[#This Row],[O_from_solvents]]/MainTbl[[#This Row],[TotalAtoms_all]],0)</f>
        <v>0.22224920910347026</v>
      </c>
      <c r="AL114" s="2">
        <f>IFERROR(MainTbl[[#This Row],[O_from_salts]]/MainTbl[[#This Row],[TotalAtoms_all]],0)</f>
        <v>0</v>
      </c>
      <c r="AM114" s="2">
        <f>IFERROR(MainTbl[[#This Row],[C_total]]/MainTbl[[#This Row],[TotalAtoms_all]],0)</f>
        <v>0.25114486537726199</v>
      </c>
      <c r="AN114" s="2">
        <f>IFERROR(MainTbl[[#This Row],[C_from_solvents]]/MainTbl[[#This Row],[TotalAtoms_all]],0)</f>
        <v>0.25114486537726199</v>
      </c>
      <c r="AO114" s="2">
        <f>IFERROR(MainTbl[[#This Row],[C_from_salts]]/MainTbl[[#This Row],[TotalAtoms_all]],0)</f>
        <v>0</v>
      </c>
      <c r="AP114" s="2">
        <f>IFERROR(MainTbl[[#This Row],[F_total]]/MainTbl[[#This Row],[TotalAtoms_all]],0)</f>
        <v>3.8193127218513354E-2</v>
      </c>
      <c r="AQ114" s="2">
        <f>IFERROR(MainTbl[[#This Row],[F_from_solvents]]/MainTbl[[#This Row],[TotalAtoms_all]],0)</f>
        <v>0</v>
      </c>
      <c r="AR114" s="2">
        <f>IFERROR(MainTbl[[#This Row],[F_from_salts]]/MainTbl[[#This Row],[TotalAtoms_all]],0)</f>
        <v>3.8193127218513354E-2</v>
      </c>
      <c r="AS114" s="2">
        <f>IFERROR(MainTbl[[#This Row],[F_total]]/MainTbl[[#This Row],[O_total]],0)</f>
        <v>0.17184820307158966</v>
      </c>
      <c r="AT114" s="2">
        <f>IFERROR(MainTbl[[#This Row],[F_total]]/MainTbl[[#This Row],[C_total]],0)</f>
        <v>0.152076082308674</v>
      </c>
      <c r="AU114" s="2">
        <f>IFERROR(MainTbl[[#This Row],[O_total]]/MainTbl[[#This Row],[C_total]],0)</f>
        <v>0.88494426820000649</v>
      </c>
      <c r="AV114" s="2">
        <f>IFERROR((MainTbl[[#This Row],[TotalAtoms_all]]-(MainTbl[[#This Row],[C_total]]+MainTbl[[#This Row],[H_total]]+MainTbl[[#This Row],[Li_total]]))/MainTbl[[#This Row],[C_total]],0)</f>
        <v>1.0623663642267931</v>
      </c>
      <c r="AW114" t="str">
        <f>IFERROR(VLOOKUP(MainTbl[[#This Row],[salt_1_smiles]],SaltTbl[],MATCH("Salt",SaltTbl[#Headers],0),FALSE),"")</f>
        <v>LiPF6</v>
      </c>
      <c r="AX114" t="str">
        <f>IFERROR(VLOOKUP(MainTbl[[#This Row],[salt_2_smiles]],SaltTbl[],MATCH("Salt",SaltTbl[#Headers],0),FALSE),"")</f>
        <v/>
      </c>
      <c r="AY114" t="str">
        <f>IFERROR(VLOOKUP(MainTbl[[#This Row],[solvent_1_smiles]],SolvTbl[],MATCH("Solvent",SolvTbl[#Headers],0),FALSE),"")</f>
        <v>Ethylene carbonate</v>
      </c>
      <c r="AZ114" t="str">
        <f>IFERROR(VLOOKUP(MainTbl[[#This Row],[solvent_2_smiles]],SolvTbl[],MATCH("Solvent",SolvTbl[#Headers],0),FALSE),"")</f>
        <v>DMC (C3H6O3)</v>
      </c>
      <c r="BA114" t="str">
        <f>IFERROR(VLOOKUP(MainTbl[[#This Row],[solvent_3_smiles]],SolvTbl[],MATCH("Solvent",SolvTbl[#Headers],0),FALSE),"")</f>
        <v>Tetraglyme</v>
      </c>
      <c r="BB114">
        <f>--(MainTbl[[#This Row],[solv_1_ratio]]&gt;0)+--(MainTbl[[#This Row],[solv_2_ratio]]&gt;0)+--(MainTbl[[#This Row],[solv_3_ratio]]&gt;0)</f>
        <v>3</v>
      </c>
      <c r="BC114" t="str">
        <f>IF(AND(MainTbl[[#This Row],[SaltName1]]&lt;&gt;"",MainTbl[[#This Row],[salt_1_conc]]&gt;0),TEXT(MainTbl[[#This Row],[salt_1_conc]],"0.###")&amp;" M "&amp;MainTbl[[#This Row],[SaltName1]],"")</f>
        <v>1. M LiPF6</v>
      </c>
      <c r="BD114" t="str">
        <f>IF(AND(MainTbl[[#This Row],[SaltName2]]&lt;&gt;"",MainTbl[[#This Row],[salt_2_conc]]&gt;0),TEXT(MainTbl[[#This Row],[salt_2_conc]],"0.###")&amp;" M "&amp;MainTbl[[#This Row],[SaltName2]],"")</f>
        <v/>
      </c>
      <c r="BE11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14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20.%</v>
      </c>
      <c r="BG114" t="str">
        <f>IF(MainTbl[[#This Row],[SolvCount]]=1,MainTbl[[#This Row],[SolvName2]],IF(MainTbl[[#This Row],[solv_2_ratio]]&gt;0,MainTbl[[#This Row],[SolvName2]]&amp;" "&amp;TEXT(MainTbl[[#This Row],[solv_2_ratio]]*100,"0.##")&amp;"%",""))</f>
        <v>DMC (C3H6O3) 60.%</v>
      </c>
      <c r="BH114" t="str">
        <f>IF(MainTbl[[#This Row],[SolvCount]]=1,MainTbl[[#This Row],[SolvName3]],IF(MainTbl[[#This Row],[solv_3_ratio]]&gt;0,MainTbl[[#This Row],[SolvName3]]&amp;" "&amp;TEXT(MainTbl[[#This Row],[solv_3_ratio]]*100,"0.##")&amp;"%",""))</f>
        <v>Tetraglyme 20.%</v>
      </c>
      <c r="BI11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20.% + DMC (C3H6O3) 60.% + Tetraglyme 20.%</v>
      </c>
      <c r="BJ114" t="str">
        <f>TRIM(_xlfn.CONCAT(MainTbl[[#This Row],[Salt_text]]," ",MainTbl[[#This Row],[Solvent_text]]))</f>
        <v>1. M LiPF6 Ethylene carbonate 20.% + DMC (C3H6O3) 60.% + Tetraglyme 20.%</v>
      </c>
    </row>
    <row r="115" spans="1:62" x14ac:dyDescent="0.25">
      <c r="A115" t="s">
        <v>19</v>
      </c>
      <c r="B115" t="s">
        <v>27</v>
      </c>
      <c r="D115" t="s">
        <v>29</v>
      </c>
      <c r="F115" t="s">
        <v>61</v>
      </c>
      <c r="G115">
        <v>0.33333333300000001</v>
      </c>
      <c r="H115">
        <v>0.66666666699999999</v>
      </c>
      <c r="I115">
        <v>0</v>
      </c>
      <c r="J115">
        <v>1</v>
      </c>
      <c r="K115">
        <v>0</v>
      </c>
      <c r="L115">
        <v>0.91</v>
      </c>
      <c r="M115">
        <f t="shared" si="2"/>
        <v>91</v>
      </c>
      <c r="N115">
        <f t="shared" si="3"/>
        <v>1.0457574905606752</v>
      </c>
      <c r="O115">
        <f>IFERROR(MainTbl[[#This Row],[solv_1_ratio]]*VLOOKUP(MainTbl[[#This Row],[solvent_1_smiles]],SolvTbl[],13,FALSE),0)</f>
        <v>4.9964797479048864</v>
      </c>
      <c r="P115">
        <f>IFERROR(MainTbl[[#This Row],[solv_2_ratio]]*VLOOKUP(MainTbl[[#This Row],[solvent_2_smiles]],SolvTbl[],13,FALSE),0)</f>
        <v>7.9190627421790003</v>
      </c>
      <c r="Q115">
        <f>IFERROR(MainTbl[[#This Row],[solv_3_ratio]]*VLOOKUP(MainTbl[[#This Row],[solvent_3_smiles]],SolvTbl[],13,FALSE),0)</f>
        <v>0</v>
      </c>
      <c r="R115">
        <f>IFERROR(MainTbl[[#This Row],[salt_1_conc]],0)</f>
        <v>1</v>
      </c>
      <c r="S115">
        <f>IFERROR(MainTbl[[#This Row],[salt_2_conc]],0)</f>
        <v>0</v>
      </c>
      <c r="T11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38.74662747025166</v>
      </c>
      <c r="U11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15">
        <f>MainTbl[[#This Row],[O_from_solvents]]+MainTbl[[#This Row],[O_from_salts]]</f>
        <v>38.74662747025166</v>
      </c>
      <c r="W11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38.74662747025166</v>
      </c>
      <c r="X11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5">
        <f>MainTbl[[#This Row],[C_from_solvents]]+MainTbl[[#This Row],[C_from_salts]]</f>
        <v>38.74662747025166</v>
      </c>
      <c r="Z11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1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</v>
      </c>
      <c r="AB115">
        <f>MainTbl[[#This Row],[F_from_solvents]]+MainTbl[[#This Row],[F_from_salts]]</f>
        <v>6</v>
      </c>
      <c r="AC11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67.500295444693549</v>
      </c>
      <c r="AD11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5">
        <f>MainTbl[[#This Row],[H_from_solvents]]+MainTbl[[#This Row],[H_from_salts]]</f>
        <v>67.500295444693549</v>
      </c>
      <c r="AF11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15">
        <f>MainTbl[[#This Row],[Li_from_solvents]]+MainTbl[[#This Row],[Li_from_salts]]</f>
        <v>1</v>
      </c>
      <c r="AI11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152.99355038519687</v>
      </c>
      <c r="AJ115" s="2">
        <f>IFERROR(MainTbl[[#This Row],[O_total]]/MainTbl[[#This Row],[TotalAtoms_all]],0)</f>
        <v>0.25325660704453234</v>
      </c>
      <c r="AK115" s="2">
        <f>IFERROR(MainTbl[[#This Row],[O_from_solvents]]/MainTbl[[#This Row],[TotalAtoms_all]],0)</f>
        <v>0.25325660704453234</v>
      </c>
      <c r="AL115" s="2">
        <f>IFERROR(MainTbl[[#This Row],[O_from_salts]]/MainTbl[[#This Row],[TotalAtoms_all]],0)</f>
        <v>0</v>
      </c>
      <c r="AM115" s="2">
        <f>IFERROR(MainTbl[[#This Row],[C_total]]/MainTbl[[#This Row],[TotalAtoms_all]],0)</f>
        <v>0.25325660704453234</v>
      </c>
      <c r="AN115" s="2">
        <f>IFERROR(MainTbl[[#This Row],[C_from_solvents]]/MainTbl[[#This Row],[TotalAtoms_all]],0)</f>
        <v>0.25325660704453234</v>
      </c>
      <c r="AO115" s="2">
        <f>IFERROR(MainTbl[[#This Row],[C_from_salts]]/MainTbl[[#This Row],[TotalAtoms_all]],0)</f>
        <v>0</v>
      </c>
      <c r="AP115" s="2">
        <f>IFERROR(MainTbl[[#This Row],[F_total]]/MainTbl[[#This Row],[TotalAtoms_all]],0)</f>
        <v>3.9217339455771855E-2</v>
      </c>
      <c r="AQ115" s="2">
        <f>IFERROR(MainTbl[[#This Row],[F_from_solvents]]/MainTbl[[#This Row],[TotalAtoms_all]],0)</f>
        <v>0</v>
      </c>
      <c r="AR115" s="2">
        <f>IFERROR(MainTbl[[#This Row],[F_from_salts]]/MainTbl[[#This Row],[TotalAtoms_all]],0)</f>
        <v>3.9217339455771855E-2</v>
      </c>
      <c r="AS115" s="2">
        <f>IFERROR(MainTbl[[#This Row],[F_total]]/MainTbl[[#This Row],[O_total]],0)</f>
        <v>0.15485218693179414</v>
      </c>
      <c r="AT115" s="2">
        <f>IFERROR(MainTbl[[#This Row],[F_total]]/MainTbl[[#This Row],[C_total]],0)</f>
        <v>0.15485218693179414</v>
      </c>
      <c r="AU115" s="2">
        <f>IFERROR(MainTbl[[#This Row],[O_total]]/MainTbl[[#This Row],[C_total]],0)</f>
        <v>1</v>
      </c>
      <c r="AV115" s="2">
        <f>IFERROR((MainTbl[[#This Row],[TotalAtoms_all]]-(MainTbl[[#This Row],[C_total]]+MainTbl[[#This Row],[H_total]]+MainTbl[[#This Row],[Li_total]]))/MainTbl[[#This Row],[C_total]],0)</f>
        <v>1.1806608847537601</v>
      </c>
      <c r="AW115" t="str">
        <f>IFERROR(VLOOKUP(MainTbl[[#This Row],[salt_1_smiles]],SaltTbl[],MATCH("Salt",SaltTbl[#Headers],0),FALSE),"")</f>
        <v>LiPF6</v>
      </c>
      <c r="AX115" t="str">
        <f>IFERROR(VLOOKUP(MainTbl[[#This Row],[salt_2_smiles]],SaltTbl[],MATCH("Salt",SaltTbl[#Headers],0),FALSE),"")</f>
        <v/>
      </c>
      <c r="AY115" t="str">
        <f>IFERROR(VLOOKUP(MainTbl[[#This Row],[solvent_1_smiles]],SolvTbl[],MATCH("Solvent",SolvTbl[#Headers],0),FALSE),"")</f>
        <v>Ethylene carbonate</v>
      </c>
      <c r="AZ115" t="str">
        <f>IFERROR(VLOOKUP(MainTbl[[#This Row],[solvent_2_smiles]],SolvTbl[],MATCH("Solvent",SolvTbl[#Headers],0),FALSE),"")</f>
        <v>DMC (C3H6O3)</v>
      </c>
      <c r="BA115" t="str">
        <f>IFERROR(VLOOKUP(MainTbl[[#This Row],[solvent_3_smiles]],SolvTbl[],MATCH("Solvent",SolvTbl[#Headers],0),FALSE),"")</f>
        <v/>
      </c>
      <c r="BB115">
        <f>--(MainTbl[[#This Row],[solv_1_ratio]]&gt;0)+--(MainTbl[[#This Row],[solv_2_ratio]]&gt;0)+--(MainTbl[[#This Row],[solv_3_ratio]]&gt;0)</f>
        <v>2</v>
      </c>
      <c r="BC115" t="str">
        <f>IF(AND(MainTbl[[#This Row],[SaltName1]]&lt;&gt;"",MainTbl[[#This Row],[salt_1_conc]]&gt;0),TEXT(MainTbl[[#This Row],[salt_1_conc]],"0.###")&amp;" M "&amp;MainTbl[[#This Row],[SaltName1]],"")</f>
        <v>1. M LiPF6</v>
      </c>
      <c r="BD115" t="str">
        <f>IF(AND(MainTbl[[#This Row],[SaltName2]]&lt;&gt;"",MainTbl[[#This Row],[salt_2_conc]]&gt;0),TEXT(MainTbl[[#This Row],[salt_2_conc]],"0.###")&amp;" M "&amp;MainTbl[[#This Row],[SaltName2]],"")</f>
        <v/>
      </c>
      <c r="BE11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LiPF6</v>
      </c>
      <c r="BF115" t="str">
        <f>IF(MainTbl[[#This Row],[SolvCount]]=1,MainTbl[[#This Row],[SolvName1]],IF(MainTbl[[#This Row],[solv_1_ratio]]&gt;0,MainTbl[[#This Row],[SolvName1]]&amp;" "&amp;TEXT(MainTbl[[#This Row],[solv_1_ratio]]*100,"0.##")&amp;"%",""))</f>
        <v>Ethylene carbonate 33.33%</v>
      </c>
      <c r="BG115" t="str">
        <f>IF(MainTbl[[#This Row],[SolvCount]]=1,MainTbl[[#This Row],[SolvName2]],IF(MainTbl[[#This Row],[solv_2_ratio]]&gt;0,MainTbl[[#This Row],[SolvName2]]&amp;" "&amp;TEXT(MainTbl[[#This Row],[solv_2_ratio]]*100,"0.##")&amp;"%",""))</f>
        <v>DMC (C3H6O3) 66.67%</v>
      </c>
      <c r="BH11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1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carbonate 33.33% + DMC (C3H6O3) 66.67%</v>
      </c>
      <c r="BJ115" t="str">
        <f>TRIM(_xlfn.CONCAT(MainTbl[[#This Row],[Salt_text]]," ",MainTbl[[#This Row],[Solvent_text]]))</f>
        <v>1. M LiPF6 Ethylene carbonate 33.33% + DMC (C3H6O3) 66.67%</v>
      </c>
    </row>
    <row r="116" spans="1:62" x14ac:dyDescent="0.25">
      <c r="A116" t="s">
        <v>62</v>
      </c>
      <c r="D116" t="s">
        <v>22</v>
      </c>
      <c r="G116">
        <v>1</v>
      </c>
      <c r="H116">
        <v>0</v>
      </c>
      <c r="I116">
        <v>0</v>
      </c>
      <c r="J116">
        <v>0.3</v>
      </c>
      <c r="K116">
        <v>0</v>
      </c>
      <c r="L116">
        <v>0.92</v>
      </c>
      <c r="M116">
        <f t="shared" si="2"/>
        <v>92</v>
      </c>
      <c r="N116">
        <f t="shared" si="3"/>
        <v>1.0969100130080567</v>
      </c>
      <c r="O116">
        <f>IFERROR(MainTbl[[#This Row],[solv_1_ratio]]*VLOOKUP(MainTbl[[#This Row],[solvent_1_smiles]],SolvTbl[],13,FALSE),0)</f>
        <v>5.2178450300026098</v>
      </c>
      <c r="P116">
        <f>IFERROR(MainTbl[[#This Row],[solv_2_ratio]]*VLOOKUP(MainTbl[[#This Row],[solvent_2_smiles]],SolvTbl[],13,FALSE),0)</f>
        <v>0</v>
      </c>
      <c r="Q116">
        <f>IFERROR(MainTbl[[#This Row],[solv_3_ratio]]*VLOOKUP(MainTbl[[#This Row],[solvent_3_smiles]],SolvTbl[],13,FALSE),0)</f>
        <v>0</v>
      </c>
      <c r="R116">
        <f>IFERROR(MainTbl[[#This Row],[salt_1_conc]],0)</f>
        <v>0.3</v>
      </c>
      <c r="S116">
        <f>IFERROR(MainTbl[[#This Row],[salt_2_conc]],0)</f>
        <v>0</v>
      </c>
      <c r="T11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20.871380120010439</v>
      </c>
      <c r="U11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1.2</v>
      </c>
      <c r="V116">
        <f>MainTbl[[#This Row],[O_from_solvents]]+MainTbl[[#This Row],[O_from_salts]]</f>
        <v>22.071380120010438</v>
      </c>
      <c r="W11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31.307070180015657</v>
      </c>
      <c r="X11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6">
        <f>MainTbl[[#This Row],[C_from_solvents]]+MainTbl[[#This Row],[C_from_salts]]</f>
        <v>31.307070180015657</v>
      </c>
      <c r="Z11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10.43569006000522</v>
      </c>
      <c r="AA11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0.6</v>
      </c>
      <c r="AB116">
        <f>MainTbl[[#This Row],[F_from_solvents]]+MainTbl[[#This Row],[F_from_salts]]</f>
        <v>11.035690060005219</v>
      </c>
      <c r="AC11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57.396295330028707</v>
      </c>
      <c r="AD11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6">
        <f>MainTbl[[#This Row],[H_from_solvents]]+MainTbl[[#This Row],[H_from_salts]]</f>
        <v>57.396295330028707</v>
      </c>
      <c r="AF11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0.3</v>
      </c>
      <c r="AH116">
        <f>MainTbl[[#This Row],[Li_from_solvents]]+MainTbl[[#This Row],[Li_from_salts]]</f>
        <v>0.3</v>
      </c>
      <c r="AI11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149.09966084007308</v>
      </c>
      <c r="AJ116" s="2">
        <f>IFERROR(MainTbl[[#This Row],[O_total]]/MainTbl[[#This Row],[TotalAtoms_all]],0)</f>
        <v>0.14803105517244997</v>
      </c>
      <c r="AK116" s="2">
        <f>IFERROR(MainTbl[[#This Row],[O_from_solvents]]/MainTbl[[#This Row],[TotalAtoms_all]],0)</f>
        <v>0.13998274712641667</v>
      </c>
      <c r="AL116" s="2">
        <f>IFERROR(MainTbl[[#This Row],[O_from_salts]]/MainTbl[[#This Row],[TotalAtoms_all]],0)</f>
        <v>8.0483080460333235E-3</v>
      </c>
      <c r="AM116" s="2">
        <f>IFERROR(MainTbl[[#This Row],[C_total]]/MainTbl[[#This Row],[TotalAtoms_all]],0)</f>
        <v>0.20997412068962498</v>
      </c>
      <c r="AN116" s="2">
        <f>IFERROR(MainTbl[[#This Row],[C_from_solvents]]/MainTbl[[#This Row],[TotalAtoms_all]],0)</f>
        <v>0.20997412068962498</v>
      </c>
      <c r="AO116" s="2">
        <f>IFERROR(MainTbl[[#This Row],[C_from_salts]]/MainTbl[[#This Row],[TotalAtoms_all]],0)</f>
        <v>0</v>
      </c>
      <c r="AP116" s="2">
        <f>IFERROR(MainTbl[[#This Row],[F_total]]/MainTbl[[#This Row],[TotalAtoms_all]],0)</f>
        <v>7.4015527586224983E-2</v>
      </c>
      <c r="AQ116" s="2">
        <f>IFERROR(MainTbl[[#This Row],[F_from_solvents]]/MainTbl[[#This Row],[TotalAtoms_all]],0)</f>
        <v>6.9991373563208337E-2</v>
      </c>
      <c r="AR116" s="2">
        <f>IFERROR(MainTbl[[#This Row],[F_from_salts]]/MainTbl[[#This Row],[TotalAtoms_all]],0)</f>
        <v>4.0241540230166618E-3</v>
      </c>
      <c r="AS116" s="2">
        <f>IFERROR(MainTbl[[#This Row],[F_total]]/MainTbl[[#This Row],[O_total]],0)</f>
        <v>0.5</v>
      </c>
      <c r="AT116" s="2">
        <f>IFERROR(MainTbl[[#This Row],[F_total]]/MainTbl[[#This Row],[C_total]],0)</f>
        <v>0.35249833333333336</v>
      </c>
      <c r="AU116" s="2">
        <f>IFERROR(MainTbl[[#This Row],[O_total]]/MainTbl[[#This Row],[C_total]],0)</f>
        <v>0.70499666666666672</v>
      </c>
      <c r="AV116" s="2">
        <f>IFERROR((MainTbl[[#This Row],[TotalAtoms_all]]-(MainTbl[[#This Row],[C_total]]+MainTbl[[#This Row],[H_total]]+MainTbl[[#This Row],[Li_total]]))/MainTbl[[#This Row],[C_total]],0)</f>
        <v>1.9195758333333339</v>
      </c>
      <c r="AW116" t="str">
        <f>IFERROR(VLOOKUP(MainTbl[[#This Row],[salt_1_smiles]],SaltTbl[],MATCH("Salt",SaltTbl[#Headers],0),FALSE),"")</f>
        <v>LiFSI</v>
      </c>
      <c r="AX116" t="str">
        <f>IFERROR(VLOOKUP(MainTbl[[#This Row],[salt_2_smiles]],SaltTbl[],MATCH("Salt",SaltTbl[#Headers],0),FALSE),"")</f>
        <v/>
      </c>
      <c r="AY116" t="str">
        <f>IFERROR(VLOOKUP(MainTbl[[#This Row],[solvent_1_smiles]],SolvTbl[],MATCH("Solvent",SolvTbl[#Headers],0),FALSE),"")</f>
        <v>1-Ethyl-3-methyl-1H-imidazol-3-ium bis(fluorosulfonyl)azanide</v>
      </c>
      <c r="AZ116" t="str">
        <f>IFERROR(VLOOKUP(MainTbl[[#This Row],[solvent_2_smiles]],SolvTbl[],MATCH("Solvent",SolvTbl[#Headers],0),FALSE),"")</f>
        <v/>
      </c>
      <c r="BA116" t="str">
        <f>IFERROR(VLOOKUP(MainTbl[[#This Row],[solvent_3_smiles]],SolvTbl[],MATCH("Solvent",SolvTbl[#Headers],0),FALSE),"")</f>
        <v/>
      </c>
      <c r="BB116">
        <f>--(MainTbl[[#This Row],[solv_1_ratio]]&gt;0)+--(MainTbl[[#This Row],[solv_2_ratio]]&gt;0)+--(MainTbl[[#This Row],[solv_3_ratio]]&gt;0)</f>
        <v>1</v>
      </c>
      <c r="BC116" t="str">
        <f>IF(AND(MainTbl[[#This Row],[SaltName1]]&lt;&gt;"",MainTbl[[#This Row],[salt_1_conc]]&gt;0),TEXT(MainTbl[[#This Row],[salt_1_conc]],"0.###")&amp;" M "&amp;MainTbl[[#This Row],[SaltName1]],"")</f>
        <v>0.3 M LiFSI</v>
      </c>
      <c r="BD116" t="str">
        <f>IF(AND(MainTbl[[#This Row],[SaltName2]]&lt;&gt;"",MainTbl[[#This Row],[salt_2_conc]]&gt;0),TEXT(MainTbl[[#This Row],[salt_2_conc]],"0.###")&amp;" M "&amp;MainTbl[[#This Row],[SaltName2]],"")</f>
        <v/>
      </c>
      <c r="BE11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0.3 M LiFSI</v>
      </c>
      <c r="BF116" t="str">
        <f>IF(MainTbl[[#This Row],[SolvCount]]=1,MainTbl[[#This Row],[SolvName1]],IF(MainTbl[[#This Row],[solv_1_ratio]]&gt;0,MainTbl[[#This Row],[SolvName1]]&amp;" "&amp;TEXT(MainTbl[[#This Row],[solv_1_ratio]]*100,"0.##")&amp;"%",""))</f>
        <v>1-Ethyl-3-methyl-1H-imidazol-3-ium bis(fluorosulfonyl)azanide</v>
      </c>
      <c r="BG116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1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1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1-Ethyl-3-methyl-1H-imidazol-3-ium bis(fluorosulfonyl)azanide</v>
      </c>
      <c r="BJ116" t="str">
        <f>TRIM(_xlfn.CONCAT(MainTbl[[#This Row],[Salt_text]]," ",MainTbl[[#This Row],[Solvent_text]]))</f>
        <v>0.3 M LiFSI 1-Ethyl-3-methyl-1H-imidazol-3-ium bis(fluorosulfonyl)azanide</v>
      </c>
    </row>
    <row r="117" spans="1:62" x14ac:dyDescent="0.25">
      <c r="A117" t="s">
        <v>63</v>
      </c>
      <c r="D117" t="s">
        <v>22</v>
      </c>
      <c r="E117" t="s">
        <v>23</v>
      </c>
      <c r="F117" t="s">
        <v>33</v>
      </c>
      <c r="G117">
        <v>1</v>
      </c>
      <c r="H117">
        <v>0</v>
      </c>
      <c r="I117">
        <v>0</v>
      </c>
      <c r="J117">
        <v>0.5</v>
      </c>
      <c r="K117">
        <v>0.5</v>
      </c>
      <c r="L117">
        <v>0.97</v>
      </c>
      <c r="M117">
        <f t="shared" si="2"/>
        <v>97</v>
      </c>
      <c r="N117">
        <f t="shared" si="3"/>
        <v>1.5228787452803372</v>
      </c>
      <c r="O117">
        <f>IFERROR(MainTbl[[#This Row],[solv_1_ratio]]*VLOOKUP(MainTbl[[#This Row],[solvent_1_smiles]],SolvTbl[],13,FALSE),0)</f>
        <v>8.4218092805035596</v>
      </c>
      <c r="P117">
        <f>IFERROR(MainTbl[[#This Row],[solv_2_ratio]]*VLOOKUP(MainTbl[[#This Row],[solvent_2_smiles]],SolvTbl[],13,FALSE),0)</f>
        <v>0</v>
      </c>
      <c r="Q117">
        <f>IFERROR(MainTbl[[#This Row],[solv_3_ratio]]*VLOOKUP(MainTbl[[#This Row],[solvent_3_smiles]],SolvTbl[],13,FALSE),0)</f>
        <v>0</v>
      </c>
      <c r="R117">
        <f>IFERROR(MainTbl[[#This Row],[salt_1_conc]],0)</f>
        <v>0.5</v>
      </c>
      <c r="S117">
        <f>IFERROR(MainTbl[[#This Row],[salt_2_conc]],0)</f>
        <v>0.5</v>
      </c>
      <c r="T11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16.843618561007119</v>
      </c>
      <c r="U11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17">
        <f>MainTbl[[#This Row],[O_from_solvents]]+MainTbl[[#This Row],[O_from_salts]]</f>
        <v>20.843618561007119</v>
      </c>
      <c r="W11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33.687237122014238</v>
      </c>
      <c r="X11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1</v>
      </c>
      <c r="Y117">
        <f>MainTbl[[#This Row],[C_from_solvents]]+MainTbl[[#This Row],[C_from_salts]]</f>
        <v>34.687237122014238</v>
      </c>
      <c r="Z11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1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4</v>
      </c>
      <c r="AB117">
        <f>MainTbl[[#This Row],[F_from_solvents]]+MainTbl[[#This Row],[F_from_salts]]</f>
        <v>4</v>
      </c>
      <c r="AC11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101.06171136604272</v>
      </c>
      <c r="AD11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7">
        <f>MainTbl[[#This Row],[H_from_solvents]]+MainTbl[[#This Row],[H_from_salts]]</f>
        <v>101.06171136604272</v>
      </c>
      <c r="AF11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17">
        <f>MainTbl[[#This Row],[Li_from_solvents]]+MainTbl[[#This Row],[Li_from_salts]]</f>
        <v>1</v>
      </c>
      <c r="AI11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173.01437632956763</v>
      </c>
      <c r="AJ117" s="2">
        <f>IFERROR(MainTbl[[#This Row],[O_total]]/MainTbl[[#This Row],[TotalAtoms_all]],0)</f>
        <v>0.12047333292872153</v>
      </c>
      <c r="AK117" s="2">
        <f>IFERROR(MainTbl[[#This Row],[O_from_solvents]]/MainTbl[[#This Row],[TotalAtoms_all]],0)</f>
        <v>9.7353866877064807E-2</v>
      </c>
      <c r="AL117" s="2">
        <f>IFERROR(MainTbl[[#This Row],[O_from_salts]]/MainTbl[[#This Row],[TotalAtoms_all]],0)</f>
        <v>2.3119466051656729E-2</v>
      </c>
      <c r="AM117" s="2">
        <f>IFERROR(MainTbl[[#This Row],[C_total]]/MainTbl[[#This Row],[TotalAtoms_all]],0)</f>
        <v>0.20048760026704379</v>
      </c>
      <c r="AN117" s="2">
        <f>IFERROR(MainTbl[[#This Row],[C_from_solvents]]/MainTbl[[#This Row],[TotalAtoms_all]],0)</f>
        <v>0.19470773375412961</v>
      </c>
      <c r="AO117" s="2">
        <f>IFERROR(MainTbl[[#This Row],[C_from_salts]]/MainTbl[[#This Row],[TotalAtoms_all]],0)</f>
        <v>5.7798665129141823E-3</v>
      </c>
      <c r="AP117" s="2">
        <f>IFERROR(MainTbl[[#This Row],[F_total]]/MainTbl[[#This Row],[TotalAtoms_all]],0)</f>
        <v>2.3119466051656729E-2</v>
      </c>
      <c r="AQ117" s="2">
        <f>IFERROR(MainTbl[[#This Row],[F_from_solvents]]/MainTbl[[#This Row],[TotalAtoms_all]],0)</f>
        <v>0</v>
      </c>
      <c r="AR117" s="2">
        <f>IFERROR(MainTbl[[#This Row],[F_from_salts]]/MainTbl[[#This Row],[TotalAtoms_all]],0)</f>
        <v>2.3119466051656729E-2</v>
      </c>
      <c r="AS117" s="2">
        <f>IFERROR(MainTbl[[#This Row],[F_total]]/MainTbl[[#This Row],[O_total]],0)</f>
        <v>0.19190525811496756</v>
      </c>
      <c r="AT117" s="2">
        <f>IFERROR(MainTbl[[#This Row],[F_total]]/MainTbl[[#This Row],[C_total]],0)</f>
        <v>0.11531618923495644</v>
      </c>
      <c r="AU117" s="2">
        <f>IFERROR(MainTbl[[#This Row],[O_total]]/MainTbl[[#This Row],[C_total]],0)</f>
        <v>0.60090166558058689</v>
      </c>
      <c r="AV117" s="2">
        <f>IFERROR((MainTbl[[#This Row],[TotalAtoms_all]]-(MainTbl[[#This Row],[C_total]]+MainTbl[[#This Row],[H_total]]+MainTbl[[#This Row],[Li_total]]))/MainTbl[[#This Row],[C_total]],0)</f>
        <v>1.0454977349145758</v>
      </c>
      <c r="AW117" t="str">
        <f>IFERROR(VLOOKUP(MainTbl[[#This Row],[salt_1_smiles]],SaltTbl[],MATCH("Salt",SaltTbl[#Headers],0),FALSE),"")</f>
        <v>LiFSI</v>
      </c>
      <c r="AX117" t="str">
        <f>IFERROR(VLOOKUP(MainTbl[[#This Row],[salt_2_smiles]],SaltTbl[],MATCH("Salt",SaltTbl[#Headers],0),FALSE),"")</f>
        <v>LiTFSI</v>
      </c>
      <c r="AY117" t="str">
        <f>IFERROR(VLOOKUP(MainTbl[[#This Row],[solvent_1_smiles]],SolvTbl[],MATCH("Solvent",SolvTbl[#Headers],0),FALSE),"")</f>
        <v>Dimethoxydimethylsilane</v>
      </c>
      <c r="AZ117" t="str">
        <f>IFERROR(VLOOKUP(MainTbl[[#This Row],[solvent_2_smiles]],SolvTbl[],MATCH("Solvent",SolvTbl[#Headers],0),FALSE),"")</f>
        <v/>
      </c>
      <c r="BA117" t="str">
        <f>IFERROR(VLOOKUP(MainTbl[[#This Row],[solvent_3_smiles]],SolvTbl[],MATCH("Solvent",SolvTbl[#Headers],0),FALSE),"")</f>
        <v/>
      </c>
      <c r="BB117">
        <f>--(MainTbl[[#This Row],[solv_1_ratio]]&gt;0)+--(MainTbl[[#This Row],[solv_2_ratio]]&gt;0)+--(MainTbl[[#This Row],[solv_3_ratio]]&gt;0)</f>
        <v>1</v>
      </c>
      <c r="BC117" t="str">
        <f>IF(AND(MainTbl[[#This Row],[SaltName1]]&lt;&gt;"",MainTbl[[#This Row],[salt_1_conc]]&gt;0),TEXT(MainTbl[[#This Row],[salt_1_conc]],"0.###")&amp;" M "&amp;MainTbl[[#This Row],[SaltName1]],"")</f>
        <v>0.5 M LiFSI</v>
      </c>
      <c r="BD117" t="str">
        <f>IF(AND(MainTbl[[#This Row],[SaltName2]]&lt;&gt;"",MainTbl[[#This Row],[salt_2_conc]]&gt;0),TEXT(MainTbl[[#This Row],[salt_2_conc]],"0.###")&amp;" M "&amp;MainTbl[[#This Row],[SaltName2]],"")</f>
        <v>0.5 M LiTFSI</v>
      </c>
      <c r="BE11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0.5 M LiFSI + 0.5 M LiTFSI</v>
      </c>
      <c r="BF117" t="str">
        <f>IF(MainTbl[[#This Row],[SolvCount]]=1,MainTbl[[#This Row],[SolvName1]],IF(MainTbl[[#This Row],[solv_1_ratio]]&gt;0,MainTbl[[#This Row],[SolvName1]]&amp;" "&amp;TEXT(MainTbl[[#This Row],[solv_1_ratio]]*100,"0.##")&amp;"%",""))</f>
        <v>Dimethoxydimethylsilane</v>
      </c>
      <c r="BG117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1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1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Dimethoxydimethylsilane</v>
      </c>
      <c r="BJ117" t="str">
        <f>TRIM(_xlfn.CONCAT(MainTbl[[#This Row],[Salt_text]]," ",MainTbl[[#This Row],[Solvent_text]]))</f>
        <v>0.5 M LiFSI + 0.5 M LiTFSI Dimethoxydimethylsilane</v>
      </c>
    </row>
    <row r="118" spans="1:62" x14ac:dyDescent="0.25">
      <c r="A118" t="s">
        <v>64</v>
      </c>
      <c r="D118" t="s">
        <v>22</v>
      </c>
      <c r="G118">
        <v>1</v>
      </c>
      <c r="H118">
        <v>0</v>
      </c>
      <c r="I118">
        <v>0</v>
      </c>
      <c r="J118">
        <v>2</v>
      </c>
      <c r="K118">
        <v>0</v>
      </c>
      <c r="L118">
        <v>0.99</v>
      </c>
      <c r="M118">
        <f t="shared" si="2"/>
        <v>99</v>
      </c>
      <c r="N118">
        <f t="shared" si="3"/>
        <v>1.9999999999999996</v>
      </c>
      <c r="O118">
        <f>IFERROR(MainTbl[[#This Row],[solv_1_ratio]]*VLOOKUP(MainTbl[[#This Row],[solvent_1_smiles]],SolvTbl[],13,FALSE),0)</f>
        <v>5.8975304091411731</v>
      </c>
      <c r="P118">
        <f>IFERROR(MainTbl[[#This Row],[solv_2_ratio]]*VLOOKUP(MainTbl[[#This Row],[solvent_2_smiles]],SolvTbl[],13,FALSE),0)</f>
        <v>0</v>
      </c>
      <c r="Q118">
        <f>IFERROR(MainTbl[[#This Row],[solv_3_ratio]]*VLOOKUP(MainTbl[[#This Row],[solvent_3_smiles]],SolvTbl[],13,FALSE),0)</f>
        <v>0</v>
      </c>
      <c r="R118">
        <f>IFERROR(MainTbl[[#This Row],[salt_1_conc]],0)</f>
        <v>2</v>
      </c>
      <c r="S118">
        <f>IFERROR(MainTbl[[#This Row],[salt_2_conc]],0)</f>
        <v>0</v>
      </c>
      <c r="T11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5.8975304091411731</v>
      </c>
      <c r="U11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8</v>
      </c>
      <c r="V118">
        <f>MainTbl[[#This Row],[O_from_solvents]]+MainTbl[[#This Row],[O_from_salts]]</f>
        <v>13.897530409141172</v>
      </c>
      <c r="W11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47.180243273129385</v>
      </c>
      <c r="X11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8">
        <f>MainTbl[[#This Row],[C_from_solvents]]+MainTbl[[#This Row],[C_from_salts]]</f>
        <v>47.180243273129385</v>
      </c>
      <c r="Z11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1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4</v>
      </c>
      <c r="AB118">
        <f>MainTbl[[#This Row],[F_from_solvents]]+MainTbl[[#This Row],[F_from_salts]]</f>
        <v>4</v>
      </c>
      <c r="AC11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106.15554736454112</v>
      </c>
      <c r="AD11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8">
        <f>MainTbl[[#This Row],[H_from_solvents]]+MainTbl[[#This Row],[H_from_salts]]</f>
        <v>106.15554736454112</v>
      </c>
      <c r="AF11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2</v>
      </c>
      <c r="AH118">
        <f>MainTbl[[#This Row],[Li_from_solvents]]+MainTbl[[#This Row],[Li_from_salts]]</f>
        <v>2</v>
      </c>
      <c r="AI11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179.23332104681168</v>
      </c>
      <c r="AJ118" s="2">
        <f>IFERROR(MainTbl[[#This Row],[O_total]]/MainTbl[[#This Row],[TotalAtoms_all]],0)</f>
        <v>7.7538765269608831E-2</v>
      </c>
      <c r="AK118" s="2">
        <f>IFERROR(MainTbl[[#This Row],[O_from_solvents]]/MainTbl[[#This Row],[TotalAtoms_all]],0)</f>
        <v>3.2904207625550116E-2</v>
      </c>
      <c r="AL118" s="2">
        <f>IFERROR(MainTbl[[#This Row],[O_from_salts]]/MainTbl[[#This Row],[TotalAtoms_all]],0)</f>
        <v>4.4634557644058728E-2</v>
      </c>
      <c r="AM118" s="2">
        <f>IFERROR(MainTbl[[#This Row],[C_total]]/MainTbl[[#This Row],[TotalAtoms_all]],0)</f>
        <v>0.26323366100440093</v>
      </c>
      <c r="AN118" s="2">
        <f>IFERROR(MainTbl[[#This Row],[C_from_solvents]]/MainTbl[[#This Row],[TotalAtoms_all]],0)</f>
        <v>0.26323366100440093</v>
      </c>
      <c r="AO118" s="2">
        <f>IFERROR(MainTbl[[#This Row],[C_from_salts]]/MainTbl[[#This Row],[TotalAtoms_all]],0)</f>
        <v>0</v>
      </c>
      <c r="AP118" s="2">
        <f>IFERROR(MainTbl[[#This Row],[F_total]]/MainTbl[[#This Row],[TotalAtoms_all]],0)</f>
        <v>2.2317278822029364E-2</v>
      </c>
      <c r="AQ118" s="2">
        <f>IFERROR(MainTbl[[#This Row],[F_from_solvents]]/MainTbl[[#This Row],[TotalAtoms_all]],0)</f>
        <v>0</v>
      </c>
      <c r="AR118" s="2">
        <f>IFERROR(MainTbl[[#This Row],[F_from_salts]]/MainTbl[[#This Row],[TotalAtoms_all]],0)</f>
        <v>2.2317278822029364E-2</v>
      </c>
      <c r="AS118" s="2">
        <f>IFERROR(MainTbl[[#This Row],[F_total]]/MainTbl[[#This Row],[O_total]],0)</f>
        <v>0.28782092085720345</v>
      </c>
      <c r="AT118" s="2">
        <f>IFERROR(MainTbl[[#This Row],[F_total]]/MainTbl[[#This Row],[C_total]],0)</f>
        <v>8.4781249999999989E-2</v>
      </c>
      <c r="AU118" s="2">
        <f>IFERROR(MainTbl[[#This Row],[O_total]]/MainTbl[[#This Row],[C_total]],0)</f>
        <v>0.29456249999999995</v>
      </c>
      <c r="AV118" s="2">
        <f>IFERROR((MainTbl[[#This Row],[TotalAtoms_all]]-(MainTbl[[#This Row],[C_total]]+MainTbl[[#This Row],[H_total]]+MainTbl[[#This Row],[Li_total]]))/MainTbl[[#This Row],[C_total]],0)</f>
        <v>0.50651562500000014</v>
      </c>
      <c r="AW118" t="str">
        <f>IFERROR(VLOOKUP(MainTbl[[#This Row],[salt_1_smiles]],SaltTbl[],MATCH("Salt",SaltTbl[#Headers],0),FALSE),"")</f>
        <v>LiFSI</v>
      </c>
      <c r="AX118" t="str">
        <f>IFERROR(VLOOKUP(MainTbl[[#This Row],[salt_2_smiles]],SaltTbl[],MATCH("Salt",SaltTbl[#Headers],0),FALSE),"")</f>
        <v/>
      </c>
      <c r="AY118" t="str">
        <f>IFERROR(VLOOKUP(MainTbl[[#This Row],[solvent_1_smiles]],SolvTbl[],MATCH("Solvent",SolvTbl[#Headers],0),FALSE),"")</f>
        <v>Butyl ether</v>
      </c>
      <c r="AZ118" t="str">
        <f>IFERROR(VLOOKUP(MainTbl[[#This Row],[solvent_2_smiles]],SolvTbl[],MATCH("Solvent",SolvTbl[#Headers],0),FALSE),"")</f>
        <v/>
      </c>
      <c r="BA118" t="str">
        <f>IFERROR(VLOOKUP(MainTbl[[#This Row],[solvent_3_smiles]],SolvTbl[],MATCH("Solvent",SolvTbl[#Headers],0),FALSE),"")</f>
        <v/>
      </c>
      <c r="BB118">
        <f>--(MainTbl[[#This Row],[solv_1_ratio]]&gt;0)+--(MainTbl[[#This Row],[solv_2_ratio]]&gt;0)+--(MainTbl[[#This Row],[solv_3_ratio]]&gt;0)</f>
        <v>1</v>
      </c>
      <c r="BC118" t="str">
        <f>IF(AND(MainTbl[[#This Row],[SaltName1]]&lt;&gt;"",MainTbl[[#This Row],[salt_1_conc]]&gt;0),TEXT(MainTbl[[#This Row],[salt_1_conc]],"0.###")&amp;" M "&amp;MainTbl[[#This Row],[SaltName1]],"")</f>
        <v>2. M LiFSI</v>
      </c>
      <c r="BD118" t="str">
        <f>IF(AND(MainTbl[[#This Row],[SaltName2]]&lt;&gt;"",MainTbl[[#This Row],[salt_2_conc]]&gt;0),TEXT(MainTbl[[#This Row],[salt_2_conc]],"0.###")&amp;" M "&amp;MainTbl[[#This Row],[SaltName2]],"")</f>
        <v/>
      </c>
      <c r="BE11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2. M LiFSI</v>
      </c>
      <c r="BF118" t="str">
        <f>IF(MainTbl[[#This Row],[SolvCount]]=1,MainTbl[[#This Row],[SolvName1]],IF(MainTbl[[#This Row],[solv_1_ratio]]&gt;0,MainTbl[[#This Row],[SolvName1]]&amp;" "&amp;TEXT(MainTbl[[#This Row],[solv_1_ratio]]*100,"0.##")&amp;"%",""))</f>
        <v>Butyl ether</v>
      </c>
      <c r="BG118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1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1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Butyl ether</v>
      </c>
      <c r="BJ118" t="str">
        <f>TRIM(_xlfn.CONCAT(MainTbl[[#This Row],[Salt_text]]," ",MainTbl[[#This Row],[Solvent_text]]))</f>
        <v>2. M LiFSI Butyl ether</v>
      </c>
    </row>
    <row r="119" spans="1:62" x14ac:dyDescent="0.25">
      <c r="A119" t="s">
        <v>52</v>
      </c>
      <c r="B119" t="s">
        <v>14</v>
      </c>
      <c r="D119" t="s">
        <v>15</v>
      </c>
      <c r="G119">
        <v>0.9</v>
      </c>
      <c r="H119">
        <v>0.1</v>
      </c>
      <c r="I119">
        <v>0</v>
      </c>
      <c r="J119">
        <v>2.5</v>
      </c>
      <c r="K119">
        <v>0</v>
      </c>
      <c r="L119">
        <v>0.97799999999999998</v>
      </c>
      <c r="M119">
        <f t="shared" si="2"/>
        <v>97.8</v>
      </c>
      <c r="N119">
        <f t="shared" si="3"/>
        <v>1.6575773191777934</v>
      </c>
      <c r="O119">
        <f>IFERROR(MainTbl[[#This Row],[solv_1_ratio]]*VLOOKUP(MainTbl[[#This Row],[solvent_1_smiles]],SolvTbl[],13,FALSE),0)</f>
        <v>6.4614291033408939</v>
      </c>
      <c r="P119">
        <f>IFERROR(MainTbl[[#This Row],[solv_2_ratio]]*VLOOKUP(MainTbl[[#This Row],[solvent_2_smiles]],SolvTbl[],13,FALSE),0)</f>
        <v>1.2315544213913237</v>
      </c>
      <c r="Q119">
        <f>IFERROR(MainTbl[[#This Row],[solv_3_ratio]]*VLOOKUP(MainTbl[[#This Row],[solvent_3_smiles]],SolvTbl[],13,FALSE),0)</f>
        <v>0</v>
      </c>
      <c r="R119">
        <f>IFERROR(MainTbl[[#This Row],[salt_1_conc]],0)</f>
        <v>2.5</v>
      </c>
      <c r="S119">
        <f>IFERROR(MainTbl[[#This Row],[salt_2_conc]],0)</f>
        <v>0</v>
      </c>
      <c r="T11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14.154412628073111</v>
      </c>
      <c r="U11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19">
        <f>MainTbl[[#This Row],[O_from_solvents]]+MainTbl[[#This Row],[O_from_salts]]</f>
        <v>14.154412628073111</v>
      </c>
      <c r="W11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43.694792305610662</v>
      </c>
      <c r="X11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19">
        <f>MainTbl[[#This Row],[C_from_solvents]]+MainTbl[[#This Row],[C_from_salts]]</f>
        <v>43.694792305610662</v>
      </c>
      <c r="Z11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1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15</v>
      </c>
      <c r="AB119">
        <f>MainTbl[[#This Row],[F_from_solvents]]+MainTbl[[#This Row],[F_from_salts]]</f>
        <v>15</v>
      </c>
      <c r="AC11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100.3124428179031</v>
      </c>
      <c r="AD11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19">
        <f>MainTbl[[#This Row],[H_from_solvents]]+MainTbl[[#This Row],[H_from_salts]]</f>
        <v>100.3124428179031</v>
      </c>
      <c r="AF11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1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2.5</v>
      </c>
      <c r="AH119">
        <f>MainTbl[[#This Row],[Li_from_solvents]]+MainTbl[[#This Row],[Li_from_salts]]</f>
        <v>2.5</v>
      </c>
      <c r="AI11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178.16164775158688</v>
      </c>
      <c r="AJ119" s="2">
        <f>IFERROR(MainTbl[[#This Row],[O_total]]/MainTbl[[#This Row],[TotalAtoms_all]],0)</f>
        <v>7.9447023569341885E-2</v>
      </c>
      <c r="AK119" s="2">
        <f>IFERROR(MainTbl[[#This Row],[O_from_solvents]]/MainTbl[[#This Row],[TotalAtoms_all]],0)</f>
        <v>7.9447023569341885E-2</v>
      </c>
      <c r="AL119" s="2">
        <f>IFERROR(MainTbl[[#This Row],[O_from_salts]]/MainTbl[[#This Row],[TotalAtoms_all]],0)</f>
        <v>0</v>
      </c>
      <c r="AM119" s="2">
        <f>IFERROR(MainTbl[[#This Row],[C_total]]/MainTbl[[#This Row],[TotalAtoms_all]],0)</f>
        <v>0.24525363823831986</v>
      </c>
      <c r="AN119" s="2">
        <f>IFERROR(MainTbl[[#This Row],[C_from_solvents]]/MainTbl[[#This Row],[TotalAtoms_all]],0)</f>
        <v>0.24525363823831986</v>
      </c>
      <c r="AO119" s="2">
        <f>IFERROR(MainTbl[[#This Row],[C_from_salts]]/MainTbl[[#This Row],[TotalAtoms_all]],0)</f>
        <v>0</v>
      </c>
      <c r="AP119" s="2">
        <f>IFERROR(MainTbl[[#This Row],[F_total]]/MainTbl[[#This Row],[TotalAtoms_all]],0)</f>
        <v>8.4193204257488094E-2</v>
      </c>
      <c r="AQ119" s="2">
        <f>IFERROR(MainTbl[[#This Row],[F_from_solvents]]/MainTbl[[#This Row],[TotalAtoms_all]],0)</f>
        <v>0</v>
      </c>
      <c r="AR119" s="2">
        <f>IFERROR(MainTbl[[#This Row],[F_from_salts]]/MainTbl[[#This Row],[TotalAtoms_all]],0)</f>
        <v>8.4193204257488094E-2</v>
      </c>
      <c r="AS119" s="2">
        <f>IFERROR(MainTbl[[#This Row],[F_total]]/MainTbl[[#This Row],[O_total]],0)</f>
        <v>1.0597401950999927</v>
      </c>
      <c r="AT119" s="2">
        <f>IFERROR(MainTbl[[#This Row],[F_total]]/MainTbl[[#This Row],[C_total]],0)</f>
        <v>0.34329033755525862</v>
      </c>
      <c r="AU119" s="2">
        <f>IFERROR(MainTbl[[#This Row],[O_total]]/MainTbl[[#This Row],[C_total]],0)</f>
        <v>0.32393820593250888</v>
      </c>
      <c r="AV119" s="2">
        <f>IFERROR((MainTbl[[#This Row],[TotalAtoms_all]]-(MainTbl[[#This Row],[C_total]]+MainTbl[[#This Row],[H_total]]+MainTbl[[#This Row],[Li_total]]))/MainTbl[[#This Row],[C_total]],0)</f>
        <v>0.72444359974697736</v>
      </c>
      <c r="AW119" t="str">
        <f>IFERROR(VLOOKUP(MainTbl[[#This Row],[salt_1_smiles]],SaltTbl[],MATCH("Salt",SaltTbl[#Headers],0),FALSE),"")</f>
        <v>LiAsF6</v>
      </c>
      <c r="AX119" t="str">
        <f>IFERROR(VLOOKUP(MainTbl[[#This Row],[salt_2_smiles]],SaltTbl[],MATCH("Salt",SaltTbl[#Headers],0),FALSE),"")</f>
        <v/>
      </c>
      <c r="AY119" t="str">
        <f>IFERROR(VLOOKUP(MainTbl[[#This Row],[solvent_1_smiles]],SolvTbl[],MATCH("Solvent",SolvTbl[#Headers],0),FALSE),"")</f>
        <v>Ethylene glycol diethyl ether</v>
      </c>
      <c r="AZ119" t="str">
        <f>IFERROR(VLOOKUP(MainTbl[[#This Row],[solvent_2_smiles]],SolvTbl[],MATCH("Solvent",SolvTbl[#Headers],0),FALSE),"")</f>
        <v>THF (C4H8O)</v>
      </c>
      <c r="BA119" t="str">
        <f>IFERROR(VLOOKUP(MainTbl[[#This Row],[solvent_3_smiles]],SolvTbl[],MATCH("Solvent",SolvTbl[#Headers],0),FALSE),"")</f>
        <v/>
      </c>
      <c r="BB119">
        <f>--(MainTbl[[#This Row],[solv_1_ratio]]&gt;0)+--(MainTbl[[#This Row],[solv_2_ratio]]&gt;0)+--(MainTbl[[#This Row],[solv_3_ratio]]&gt;0)</f>
        <v>2</v>
      </c>
      <c r="BC119" t="str">
        <f>IF(AND(MainTbl[[#This Row],[SaltName1]]&lt;&gt;"",MainTbl[[#This Row],[salt_1_conc]]&gt;0),TEXT(MainTbl[[#This Row],[salt_1_conc]],"0.###")&amp;" M "&amp;MainTbl[[#This Row],[SaltName1]],"")</f>
        <v>2.5 M LiAsF6</v>
      </c>
      <c r="BD119" t="str">
        <f>IF(AND(MainTbl[[#This Row],[SaltName2]]&lt;&gt;"",MainTbl[[#This Row],[salt_2_conc]]&gt;0),TEXT(MainTbl[[#This Row],[salt_2_conc]],"0.###")&amp;" M "&amp;MainTbl[[#This Row],[SaltName2]],"")</f>
        <v/>
      </c>
      <c r="BE11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2.5 M LiAsF6</v>
      </c>
      <c r="BF119" t="str">
        <f>IF(MainTbl[[#This Row],[SolvCount]]=1,MainTbl[[#This Row],[SolvName1]],IF(MainTbl[[#This Row],[solv_1_ratio]]&gt;0,MainTbl[[#This Row],[SolvName1]]&amp;" "&amp;TEXT(MainTbl[[#This Row],[solv_1_ratio]]*100,"0.##")&amp;"%",""))</f>
        <v>Ethylene glycol diethyl ether 90.%</v>
      </c>
      <c r="BG119" t="str">
        <f>IF(MainTbl[[#This Row],[SolvCount]]=1,MainTbl[[#This Row],[SolvName2]],IF(MainTbl[[#This Row],[solv_2_ratio]]&gt;0,MainTbl[[#This Row],[SolvName2]]&amp;" "&amp;TEXT(MainTbl[[#This Row],[solv_2_ratio]]*100,"0.##")&amp;"%",""))</f>
        <v>THF (C4H8O) 10.%</v>
      </c>
      <c r="BH11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1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Ethylene glycol diethyl ether 90.% + THF (C4H8O) 10.%</v>
      </c>
      <c r="BJ119" t="str">
        <f>TRIM(_xlfn.CONCAT(MainTbl[[#This Row],[Salt_text]]," ",MainTbl[[#This Row],[Solvent_text]]))</f>
        <v>2.5 M LiAsF6 Ethylene glycol diethyl ether 90.% + THF (C4H8O) 10.%</v>
      </c>
    </row>
    <row r="120" spans="1:62" x14ac:dyDescent="0.25">
      <c r="A120" t="s">
        <v>24</v>
      </c>
      <c r="B120" t="s">
        <v>65</v>
      </c>
      <c r="D120" t="s">
        <v>29</v>
      </c>
      <c r="G120">
        <v>0.14285714299999999</v>
      </c>
      <c r="H120">
        <v>0.85714285700000004</v>
      </c>
      <c r="I120">
        <v>0</v>
      </c>
      <c r="J120">
        <v>1.1000000000000001</v>
      </c>
      <c r="K120">
        <v>0</v>
      </c>
      <c r="L120">
        <v>0.97699999999999998</v>
      </c>
      <c r="M120">
        <f t="shared" si="2"/>
        <v>97.7</v>
      </c>
      <c r="N120">
        <f t="shared" si="3"/>
        <v>1.6382721639824067</v>
      </c>
      <c r="O120">
        <f>IFERROR(MainTbl[[#This Row],[solv_1_ratio]]*VLOOKUP(MainTbl[[#This Row],[solvent_1_smiles]],SolvTbl[],13,FALSE),0)</f>
        <v>1.9585709725422895</v>
      </c>
      <c r="P120">
        <f>IFERROR(MainTbl[[#This Row],[solv_2_ratio]]*VLOOKUP(MainTbl[[#This Row],[solvent_2_smiles]],SolvTbl[],13,FALSE),0)</f>
        <v>8.7753434238400079</v>
      </c>
      <c r="Q120">
        <f>IFERROR(MainTbl[[#This Row],[solv_3_ratio]]*VLOOKUP(MainTbl[[#This Row],[solvent_3_smiles]],SolvTbl[],13,FALSE),0)</f>
        <v>0</v>
      </c>
      <c r="R120">
        <f>IFERROR(MainTbl[[#This Row],[salt_1_conc]],0)</f>
        <v>1.1000000000000001</v>
      </c>
      <c r="S120">
        <f>IFERROR(MainTbl[[#This Row],[salt_2_conc]],0)</f>
        <v>0</v>
      </c>
      <c r="T12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23.426399765306883</v>
      </c>
      <c r="U12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20">
        <f>MainTbl[[#This Row],[O_from_solvents]]+MainTbl[[#This Row],[O_from_salts]]</f>
        <v>23.426399765306883</v>
      </c>
      <c r="W12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40.977086612986902</v>
      </c>
      <c r="X12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20">
        <f>MainTbl[[#This Row],[C_from_solvents]]+MainTbl[[#This Row],[C_from_salts]]</f>
        <v>40.977086612986902</v>
      </c>
      <c r="Z12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1.9585709725422895</v>
      </c>
      <c r="AA12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6.6000000000000005</v>
      </c>
      <c r="AB120">
        <f>MainTbl[[#This Row],[F_from_solvents]]+MainTbl[[#This Row],[F_from_salts]]</f>
        <v>8.5585709725422898</v>
      </c>
      <c r="AC12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76.078460308346934</v>
      </c>
      <c r="AD12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0">
        <f>MainTbl[[#This Row],[H_from_solvents]]+MainTbl[[#This Row],[H_from_salts]]</f>
        <v>76.078460308346934</v>
      </c>
      <c r="AF12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1.1000000000000001</v>
      </c>
      <c r="AH120">
        <f>MainTbl[[#This Row],[Li_from_solvents]]+MainTbl[[#This Row],[Li_from_salts]]</f>
        <v>1.1000000000000001</v>
      </c>
      <c r="AI12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151.24051765918301</v>
      </c>
      <c r="AJ120" s="2">
        <f>IFERROR(MainTbl[[#This Row],[O_total]]/MainTbl[[#This Row],[TotalAtoms_all]],0)</f>
        <v>0.15489499856181219</v>
      </c>
      <c r="AK120" s="2">
        <f>IFERROR(MainTbl[[#This Row],[O_from_solvents]]/MainTbl[[#This Row],[TotalAtoms_all]],0)</f>
        <v>0.15489499856181219</v>
      </c>
      <c r="AL120" s="2">
        <f>IFERROR(MainTbl[[#This Row],[O_from_salts]]/MainTbl[[#This Row],[TotalAtoms_all]],0)</f>
        <v>0</v>
      </c>
      <c r="AM120" s="2">
        <f>IFERROR(MainTbl[[#This Row],[C_total]]/MainTbl[[#This Row],[TotalAtoms_all]],0)</f>
        <v>0.27093987277488574</v>
      </c>
      <c r="AN120" s="2">
        <f>IFERROR(MainTbl[[#This Row],[C_from_solvents]]/MainTbl[[#This Row],[TotalAtoms_all]],0)</f>
        <v>0.27093987277488574</v>
      </c>
      <c r="AO120" s="2">
        <f>IFERROR(MainTbl[[#This Row],[C_from_salts]]/MainTbl[[#This Row],[TotalAtoms_all]],0)</f>
        <v>0</v>
      </c>
      <c r="AP120" s="2">
        <f>IFERROR(MainTbl[[#This Row],[F_total]]/MainTbl[[#This Row],[TotalAtoms_all]],0)</f>
        <v>5.6589140959096888E-2</v>
      </c>
      <c r="AQ120" s="2">
        <f>IFERROR(MainTbl[[#This Row],[F_from_solvents]]/MainTbl[[#This Row],[TotalAtoms_all]],0)</f>
        <v>1.295004144957956E-2</v>
      </c>
      <c r="AR120" s="2">
        <f>IFERROR(MainTbl[[#This Row],[F_from_salts]]/MainTbl[[#This Row],[TotalAtoms_all]],0)</f>
        <v>4.3639099509517332E-2</v>
      </c>
      <c r="AS120" s="2">
        <f>IFERROR(MainTbl[[#This Row],[F_total]]/MainTbl[[#This Row],[O_total]],0)</f>
        <v>0.36533872290598529</v>
      </c>
      <c r="AT120" s="2">
        <f>IFERROR(MainTbl[[#This Row],[F_total]]/MainTbl[[#This Row],[C_total]],0)</f>
        <v>0.20886235894158992</v>
      </c>
      <c r="AU120" s="2">
        <f>IFERROR(MainTbl[[#This Row],[O_total]]/MainTbl[[#This Row],[C_total]],0)</f>
        <v>0.57169510332836437</v>
      </c>
      <c r="AV120" s="2">
        <f>IFERROR((MainTbl[[#This Row],[TotalAtoms_all]]-(MainTbl[[#This Row],[C_total]]+MainTbl[[#This Row],[H_total]]+MainTbl[[#This Row],[Li_total]]))/MainTbl[[#This Row],[C_total]],0)</f>
        <v>0.80740173283484551</v>
      </c>
      <c r="AW120" t="str">
        <f>IFERROR(VLOOKUP(MainTbl[[#This Row],[salt_1_smiles]],SaltTbl[],MATCH("Salt",SaltTbl[#Headers],0),FALSE),"")</f>
        <v>LiPF6</v>
      </c>
      <c r="AX120" t="str">
        <f>IFERROR(VLOOKUP(MainTbl[[#This Row],[salt_2_smiles]],SaltTbl[],MATCH("Salt",SaltTbl[#Headers],0),FALSE),"")</f>
        <v/>
      </c>
      <c r="AY120" t="str">
        <f>IFERROR(VLOOKUP(MainTbl[[#This Row],[solvent_1_smiles]],SolvTbl[],MATCH("Solvent",SolvTbl[#Headers],0),FALSE),"")</f>
        <v>Fluoroethylene carbonate</v>
      </c>
      <c r="AZ120" t="str">
        <f>IFERROR(VLOOKUP(MainTbl[[#This Row],[solvent_2_smiles]],SolvTbl[],MATCH("Solvent",SolvTbl[#Headers],0),FALSE),"")</f>
        <v>Ethyl acetate</v>
      </c>
      <c r="BA120" t="str">
        <f>IFERROR(VLOOKUP(MainTbl[[#This Row],[solvent_3_smiles]],SolvTbl[],MATCH("Solvent",SolvTbl[#Headers],0),FALSE),"")</f>
        <v/>
      </c>
      <c r="BB120">
        <f>--(MainTbl[[#This Row],[solv_1_ratio]]&gt;0)+--(MainTbl[[#This Row],[solv_2_ratio]]&gt;0)+--(MainTbl[[#This Row],[solv_3_ratio]]&gt;0)</f>
        <v>2</v>
      </c>
      <c r="BC120" t="str">
        <f>IF(AND(MainTbl[[#This Row],[SaltName1]]&lt;&gt;"",MainTbl[[#This Row],[salt_1_conc]]&gt;0),TEXT(MainTbl[[#This Row],[salt_1_conc]],"0.###")&amp;" M "&amp;MainTbl[[#This Row],[SaltName1]],"")</f>
        <v>1.1 M LiPF6</v>
      </c>
      <c r="BD120" t="str">
        <f>IF(AND(MainTbl[[#This Row],[SaltName2]]&lt;&gt;"",MainTbl[[#This Row],[salt_2_conc]]&gt;0),TEXT(MainTbl[[#This Row],[salt_2_conc]],"0.###")&amp;" M "&amp;MainTbl[[#This Row],[SaltName2]],"")</f>
        <v/>
      </c>
      <c r="BE12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1.1 M LiPF6</v>
      </c>
      <c r="BF120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14.29%</v>
      </c>
      <c r="BG120" t="str">
        <f>IF(MainTbl[[#This Row],[SolvCount]]=1,MainTbl[[#This Row],[SolvName2]],IF(MainTbl[[#This Row],[solv_2_ratio]]&gt;0,MainTbl[[#This Row],[SolvName2]]&amp;" "&amp;TEXT(MainTbl[[#This Row],[solv_2_ratio]]*100,"0.##")&amp;"%",""))</f>
        <v>Ethyl acetate 85.71%</v>
      </c>
      <c r="BH12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14.29% + Ethyl acetate 85.71%</v>
      </c>
      <c r="BJ120" t="str">
        <f>TRIM(_xlfn.CONCAT(MainTbl[[#This Row],[Salt_text]]," ",MainTbl[[#This Row],[Solvent_text]]))</f>
        <v>1.1 M LiPF6 Fluoroethylene carbonate 14.29% + Ethyl acetate 85.71%</v>
      </c>
    </row>
    <row r="121" spans="1:62" x14ac:dyDescent="0.25">
      <c r="A121" t="s">
        <v>24</v>
      </c>
      <c r="B121" t="s">
        <v>65</v>
      </c>
      <c r="D121" t="s">
        <v>29</v>
      </c>
      <c r="G121">
        <v>0.2</v>
      </c>
      <c r="H121">
        <v>0.8</v>
      </c>
      <c r="I121">
        <v>0</v>
      </c>
      <c r="J121">
        <v>1.1000000000000001</v>
      </c>
      <c r="K121">
        <v>0</v>
      </c>
      <c r="L121">
        <v>0.98</v>
      </c>
      <c r="M121">
        <f t="shared" si="2"/>
        <v>98</v>
      </c>
      <c r="N121">
        <f t="shared" si="3"/>
        <v>1.6989700043360185</v>
      </c>
      <c r="O121">
        <f>IFERROR(MainTbl[[#This Row],[solv_1_ratio]]*VLOOKUP(MainTbl[[#This Row],[solvent_1_smiles]],SolvTbl[],13,FALSE),0)</f>
        <v>2.7419993588172065</v>
      </c>
      <c r="P121">
        <f>IFERROR(MainTbl[[#This Row],[solv_2_ratio]]*VLOOKUP(MainTbl[[#This Row],[solvent_2_smiles]],SolvTbl[],13,FALSE),0)</f>
        <v>8.1903205302823938</v>
      </c>
      <c r="Q121">
        <f>IFERROR(MainTbl[[#This Row],[solv_3_ratio]]*VLOOKUP(MainTbl[[#This Row],[solvent_3_smiles]],SolvTbl[],13,FALSE),0)</f>
        <v>0</v>
      </c>
      <c r="R121">
        <f>IFERROR(MainTbl[[#This Row],[salt_1_conc]],0)</f>
        <v>1.1000000000000001</v>
      </c>
      <c r="S121">
        <f>IFERROR(MainTbl[[#This Row],[salt_2_conc]],0)</f>
        <v>0</v>
      </c>
      <c r="T12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24.606639137016408</v>
      </c>
      <c r="U12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21">
        <f>MainTbl[[#This Row],[O_from_solvents]]+MainTbl[[#This Row],[O_from_salts]]</f>
        <v>24.606639137016408</v>
      </c>
      <c r="W12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40.987280197581192</v>
      </c>
      <c r="X12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21">
        <f>MainTbl[[#This Row],[C_from_solvents]]+MainTbl[[#This Row],[C_from_salts]]</f>
        <v>40.987280197581192</v>
      </c>
      <c r="Z12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2.7419993588172065</v>
      </c>
      <c r="AA12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6.6000000000000005</v>
      </c>
      <c r="AB121">
        <f>MainTbl[[#This Row],[F_from_solvents]]+MainTbl[[#This Row],[F_from_salts]]</f>
        <v>9.3419993588172066</v>
      </c>
      <c r="AC12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73.748562318710768</v>
      </c>
      <c r="AD12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1">
        <f>MainTbl[[#This Row],[H_from_solvents]]+MainTbl[[#This Row],[H_from_salts]]</f>
        <v>73.748562318710768</v>
      </c>
      <c r="AF12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1.1000000000000001</v>
      </c>
      <c r="AH121">
        <f>MainTbl[[#This Row],[Li_from_solvents]]+MainTbl[[#This Row],[Li_from_salts]]</f>
        <v>1.1000000000000001</v>
      </c>
      <c r="AI12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150.8844810121256</v>
      </c>
      <c r="AJ121" s="2">
        <f>IFERROR(MainTbl[[#This Row],[O_total]]/MainTbl[[#This Row],[TotalAtoms_all]],0)</f>
        <v>0.16308263760432018</v>
      </c>
      <c r="AK121" s="2">
        <f>IFERROR(MainTbl[[#This Row],[O_from_solvents]]/MainTbl[[#This Row],[TotalAtoms_all]],0)</f>
        <v>0.16308263760432018</v>
      </c>
      <c r="AL121" s="2">
        <f>IFERROR(MainTbl[[#This Row],[O_from_salts]]/MainTbl[[#This Row],[TotalAtoms_all]],0)</f>
        <v>0</v>
      </c>
      <c r="AM121" s="2">
        <f>IFERROR(MainTbl[[#This Row],[C_total]]/MainTbl[[#This Row],[TotalAtoms_all]],0)</f>
        <v>0.27164675865033006</v>
      </c>
      <c r="AN121" s="2">
        <f>IFERROR(MainTbl[[#This Row],[C_from_solvents]]/MainTbl[[#This Row],[TotalAtoms_all]],0)</f>
        <v>0.27164675865033006</v>
      </c>
      <c r="AO121" s="2">
        <f>IFERROR(MainTbl[[#This Row],[C_from_salts]]/MainTbl[[#This Row],[TotalAtoms_all]],0)</f>
        <v>0</v>
      </c>
      <c r="AP121" s="2">
        <f>IFERROR(MainTbl[[#This Row],[F_total]]/MainTbl[[#This Row],[TotalAtoms_all]],0)</f>
        <v>6.1914911965442299E-2</v>
      </c>
      <c r="AQ121" s="2">
        <f>IFERROR(MainTbl[[#This Row],[F_from_solvents]]/MainTbl[[#This Row],[TotalAtoms_all]],0)</f>
        <v>1.8172838852770087E-2</v>
      </c>
      <c r="AR121" s="2">
        <f>IFERROR(MainTbl[[#This Row],[F_from_salts]]/MainTbl[[#This Row],[TotalAtoms_all]],0)</f>
        <v>4.3742073112672211E-2</v>
      </c>
      <c r="AS121" s="2">
        <f>IFERROR(MainTbl[[#This Row],[F_total]]/MainTbl[[#This Row],[O_total]],0)</f>
        <v>0.37965360920678493</v>
      </c>
      <c r="AT121" s="2">
        <f>IFERROR(MainTbl[[#This Row],[F_total]]/MainTbl[[#This Row],[C_total]],0)</f>
        <v>0.22792435394062843</v>
      </c>
      <c r="AU121" s="2">
        <f>IFERROR(MainTbl[[#This Row],[O_total]]/MainTbl[[#This Row],[C_total]],0)</f>
        <v>0.60034818164071635</v>
      </c>
      <c r="AV121" s="2">
        <f>IFERROR((MainTbl[[#This Row],[TotalAtoms_all]]-(MainTbl[[#This Row],[C_total]]+MainTbl[[#This Row],[H_total]]+MainTbl[[#This Row],[Li_total]]))/MainTbl[[#This Row],[C_total]],0)</f>
        <v>0.85511012994470392</v>
      </c>
      <c r="AW121" t="str">
        <f>IFERROR(VLOOKUP(MainTbl[[#This Row],[salt_1_smiles]],SaltTbl[],MATCH("Salt",SaltTbl[#Headers],0),FALSE),"")</f>
        <v>LiPF6</v>
      </c>
      <c r="AX121" t="str">
        <f>IFERROR(VLOOKUP(MainTbl[[#This Row],[salt_2_smiles]],SaltTbl[],MATCH("Salt",SaltTbl[#Headers],0),FALSE),"")</f>
        <v/>
      </c>
      <c r="AY121" t="str">
        <f>IFERROR(VLOOKUP(MainTbl[[#This Row],[solvent_1_smiles]],SolvTbl[],MATCH("Solvent",SolvTbl[#Headers],0),FALSE),"")</f>
        <v>Fluoroethylene carbonate</v>
      </c>
      <c r="AZ121" t="str">
        <f>IFERROR(VLOOKUP(MainTbl[[#This Row],[solvent_2_smiles]],SolvTbl[],MATCH("Solvent",SolvTbl[#Headers],0),FALSE),"")</f>
        <v>Ethyl acetate</v>
      </c>
      <c r="BA121" t="str">
        <f>IFERROR(VLOOKUP(MainTbl[[#This Row],[solvent_3_smiles]],SolvTbl[],MATCH("Solvent",SolvTbl[#Headers],0),FALSE),"")</f>
        <v/>
      </c>
      <c r="BB121">
        <f>--(MainTbl[[#This Row],[solv_1_ratio]]&gt;0)+--(MainTbl[[#This Row],[solv_2_ratio]]&gt;0)+--(MainTbl[[#This Row],[solv_3_ratio]]&gt;0)</f>
        <v>2</v>
      </c>
      <c r="BC121" t="str">
        <f>IF(AND(MainTbl[[#This Row],[SaltName1]]&lt;&gt;"",MainTbl[[#This Row],[salt_1_conc]]&gt;0),TEXT(MainTbl[[#This Row],[salt_1_conc]],"0.###")&amp;" M "&amp;MainTbl[[#This Row],[SaltName1]],"")</f>
        <v>1.1 M LiPF6</v>
      </c>
      <c r="BD121" t="str">
        <f>IF(AND(MainTbl[[#This Row],[SaltName2]]&lt;&gt;"",MainTbl[[#This Row],[salt_2_conc]]&gt;0),TEXT(MainTbl[[#This Row],[salt_2_conc]],"0.###")&amp;" M "&amp;MainTbl[[#This Row],[SaltName2]],"")</f>
        <v/>
      </c>
      <c r="BE12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1.1 M LiPF6</v>
      </c>
      <c r="BF121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20.%</v>
      </c>
      <c r="BG121" t="str">
        <f>IF(MainTbl[[#This Row],[SolvCount]]=1,MainTbl[[#This Row],[SolvName2]],IF(MainTbl[[#This Row],[solv_2_ratio]]&gt;0,MainTbl[[#This Row],[SolvName2]]&amp;" "&amp;TEXT(MainTbl[[#This Row],[solv_2_ratio]]*100,"0.##")&amp;"%",""))</f>
        <v>Ethyl acetate 80.%</v>
      </c>
      <c r="BH12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20.% + Ethyl acetate 80.%</v>
      </c>
      <c r="BJ121" t="str">
        <f>TRIM(_xlfn.CONCAT(MainTbl[[#This Row],[Salt_text]]," ",MainTbl[[#This Row],[Solvent_text]]))</f>
        <v>1.1 M LiPF6 Fluoroethylene carbonate 20.% + Ethyl acetate 80.%</v>
      </c>
    </row>
    <row r="122" spans="1:62" x14ac:dyDescent="0.25">
      <c r="A122" t="s">
        <v>24</v>
      </c>
      <c r="B122" t="s">
        <v>65</v>
      </c>
      <c r="D122" t="s">
        <v>29</v>
      </c>
      <c r="G122">
        <v>0.25</v>
      </c>
      <c r="H122">
        <v>0.75</v>
      </c>
      <c r="I122">
        <v>0</v>
      </c>
      <c r="J122">
        <v>1.1000000000000001</v>
      </c>
      <c r="K122">
        <v>0</v>
      </c>
      <c r="L122">
        <v>0.98199999999999998</v>
      </c>
      <c r="M122">
        <f t="shared" si="2"/>
        <v>98.2</v>
      </c>
      <c r="N122">
        <f t="shared" si="3"/>
        <v>1.7447274948966935</v>
      </c>
      <c r="O122">
        <f>IFERROR(MainTbl[[#This Row],[solv_1_ratio]]*VLOOKUP(MainTbl[[#This Row],[solvent_1_smiles]],SolvTbl[],13,FALSE),0)</f>
        <v>3.4274991985215078</v>
      </c>
      <c r="P122">
        <f>IFERROR(MainTbl[[#This Row],[solv_2_ratio]]*VLOOKUP(MainTbl[[#This Row],[solvent_2_smiles]],SolvTbl[],13,FALSE),0)</f>
        <v>7.6784254971397434</v>
      </c>
      <c r="Q122">
        <f>IFERROR(MainTbl[[#This Row],[solv_3_ratio]]*VLOOKUP(MainTbl[[#This Row],[solvent_3_smiles]],SolvTbl[],13,FALSE),0)</f>
        <v>0</v>
      </c>
      <c r="R122">
        <f>IFERROR(MainTbl[[#This Row],[salt_1_conc]],0)</f>
        <v>1.1000000000000001</v>
      </c>
      <c r="S122">
        <f>IFERROR(MainTbl[[#This Row],[salt_2_conc]],0)</f>
        <v>0</v>
      </c>
      <c r="T12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25.639348589844012</v>
      </c>
      <c r="U12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0</v>
      </c>
      <c r="V122">
        <f>MainTbl[[#This Row],[O_from_solvents]]+MainTbl[[#This Row],[O_from_salts]]</f>
        <v>25.639348589844012</v>
      </c>
      <c r="W12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40.996199584123495</v>
      </c>
      <c r="X12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22">
        <f>MainTbl[[#This Row],[C_from_solvents]]+MainTbl[[#This Row],[C_from_salts]]</f>
        <v>40.996199584123495</v>
      </c>
      <c r="Z12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3.4274991985215078</v>
      </c>
      <c r="AA12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6.6000000000000005</v>
      </c>
      <c r="AB122">
        <f>MainTbl[[#This Row],[F_from_solvents]]+MainTbl[[#This Row],[F_from_salts]]</f>
        <v>10.027499198521507</v>
      </c>
      <c r="AC12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71.709901572682469</v>
      </c>
      <c r="AD12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2">
        <f>MainTbl[[#This Row],[H_from_solvents]]+MainTbl[[#This Row],[H_from_salts]]</f>
        <v>71.709901572682469</v>
      </c>
      <c r="AF12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1.1000000000000001</v>
      </c>
      <c r="AH122">
        <f>MainTbl[[#This Row],[Li_from_solvents]]+MainTbl[[#This Row],[Li_from_salts]]</f>
        <v>1.1000000000000001</v>
      </c>
      <c r="AI12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150.5729489451715</v>
      </c>
      <c r="AJ122" s="2">
        <f>IFERROR(MainTbl[[#This Row],[O_total]]/MainTbl[[#This Row],[TotalAtoms_all]],0)</f>
        <v>0.1702785843636504</v>
      </c>
      <c r="AK122" s="2">
        <f>IFERROR(MainTbl[[#This Row],[O_from_solvents]]/MainTbl[[#This Row],[TotalAtoms_all]],0)</f>
        <v>0.1702785843636504</v>
      </c>
      <c r="AL122" s="2">
        <f>IFERROR(MainTbl[[#This Row],[O_from_salts]]/MainTbl[[#This Row],[TotalAtoms_all]],0)</f>
        <v>0</v>
      </c>
      <c r="AM122" s="2">
        <f>IFERROR(MainTbl[[#This Row],[C_total]]/MainTbl[[#This Row],[TotalAtoms_all]],0)</f>
        <v>0.2722680260386714</v>
      </c>
      <c r="AN122" s="2">
        <f>IFERROR(MainTbl[[#This Row],[C_from_solvents]]/MainTbl[[#This Row],[TotalAtoms_all]],0)</f>
        <v>0.2722680260386714</v>
      </c>
      <c r="AO122" s="2">
        <f>IFERROR(MainTbl[[#This Row],[C_from_salts]]/MainTbl[[#This Row],[TotalAtoms_all]],0)</f>
        <v>0</v>
      </c>
      <c r="AP122" s="2">
        <f>IFERROR(MainTbl[[#This Row],[F_total]]/MainTbl[[#This Row],[TotalAtoms_all]],0)</f>
        <v>6.6595622047442571E-2</v>
      </c>
      <c r="AQ122" s="2">
        <f>IFERROR(MainTbl[[#This Row],[F_from_solvents]]/MainTbl[[#This Row],[TotalAtoms_all]],0)</f>
        <v>2.2763047562876459E-2</v>
      </c>
      <c r="AR122" s="2">
        <f>IFERROR(MainTbl[[#This Row],[F_from_salts]]/MainTbl[[#This Row],[TotalAtoms_all]],0)</f>
        <v>4.3832574484566116E-2</v>
      </c>
      <c r="AS122" s="2">
        <f>IFERROR(MainTbl[[#This Row],[F_total]]/MainTbl[[#This Row],[O_total]],0)</f>
        <v>0.3910980485086698</v>
      </c>
      <c r="AT122" s="2">
        <f>IFERROR(MainTbl[[#This Row],[F_total]]/MainTbl[[#This Row],[C_total]],0)</f>
        <v>0.24459582352128156</v>
      </c>
      <c r="AU122" s="2">
        <f>IFERROR(MainTbl[[#This Row],[O_total]]/MainTbl[[#This Row],[C_total]],0)</f>
        <v>0.62540793658769545</v>
      </c>
      <c r="AV122" s="2">
        <f>IFERROR((MainTbl[[#This Row],[TotalAtoms_all]]-(MainTbl[[#This Row],[C_total]]+MainTbl[[#This Row],[H_total]]+MainTbl[[#This Row],[Li_total]]))/MainTbl[[#This Row],[C_total]],0)</f>
        <v>0.89683551551944707</v>
      </c>
      <c r="AW122" t="str">
        <f>IFERROR(VLOOKUP(MainTbl[[#This Row],[salt_1_smiles]],SaltTbl[],MATCH("Salt",SaltTbl[#Headers],0),FALSE),"")</f>
        <v>LiPF6</v>
      </c>
      <c r="AX122" t="str">
        <f>IFERROR(VLOOKUP(MainTbl[[#This Row],[salt_2_smiles]],SaltTbl[],MATCH("Salt",SaltTbl[#Headers],0),FALSE),"")</f>
        <v/>
      </c>
      <c r="AY122" t="str">
        <f>IFERROR(VLOOKUP(MainTbl[[#This Row],[solvent_1_smiles]],SolvTbl[],MATCH("Solvent",SolvTbl[#Headers],0),FALSE),"")</f>
        <v>Fluoroethylene carbonate</v>
      </c>
      <c r="AZ122" t="str">
        <f>IFERROR(VLOOKUP(MainTbl[[#This Row],[solvent_2_smiles]],SolvTbl[],MATCH("Solvent",SolvTbl[#Headers],0),FALSE),"")</f>
        <v>Ethyl acetate</v>
      </c>
      <c r="BA122" t="str">
        <f>IFERROR(VLOOKUP(MainTbl[[#This Row],[solvent_3_smiles]],SolvTbl[],MATCH("Solvent",SolvTbl[#Headers],0),FALSE),"")</f>
        <v/>
      </c>
      <c r="BB122">
        <f>--(MainTbl[[#This Row],[solv_1_ratio]]&gt;0)+--(MainTbl[[#This Row],[solv_2_ratio]]&gt;0)+--(MainTbl[[#This Row],[solv_3_ratio]]&gt;0)</f>
        <v>2</v>
      </c>
      <c r="BC122" t="str">
        <f>IF(AND(MainTbl[[#This Row],[SaltName1]]&lt;&gt;"",MainTbl[[#This Row],[salt_1_conc]]&gt;0),TEXT(MainTbl[[#This Row],[salt_1_conc]],"0.###")&amp;" M "&amp;MainTbl[[#This Row],[SaltName1]],"")</f>
        <v>1.1 M LiPF6</v>
      </c>
      <c r="BD122" t="str">
        <f>IF(AND(MainTbl[[#This Row],[SaltName2]]&lt;&gt;"",MainTbl[[#This Row],[salt_2_conc]]&gt;0),TEXT(MainTbl[[#This Row],[salt_2_conc]],"0.###")&amp;" M "&amp;MainTbl[[#This Row],[SaltName2]],"")</f>
        <v/>
      </c>
      <c r="BE12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1.1 M LiPF6</v>
      </c>
      <c r="BF122" t="str">
        <f>IF(MainTbl[[#This Row],[SolvCount]]=1,MainTbl[[#This Row],[SolvName1]],IF(MainTbl[[#This Row],[solv_1_ratio]]&gt;0,MainTbl[[#This Row],[SolvName1]]&amp;" "&amp;TEXT(MainTbl[[#This Row],[solv_1_ratio]]*100,"0.##")&amp;"%",""))</f>
        <v>Fluoroethylene carbonate 25.%</v>
      </c>
      <c r="BG122" t="str">
        <f>IF(MainTbl[[#This Row],[SolvCount]]=1,MainTbl[[#This Row],[SolvName2]],IF(MainTbl[[#This Row],[solv_2_ratio]]&gt;0,MainTbl[[#This Row],[SolvName2]]&amp;" "&amp;TEXT(MainTbl[[#This Row],[solv_2_ratio]]*100,"0.##")&amp;"%",""))</f>
        <v>Ethyl acetate 75.%</v>
      </c>
      <c r="BH12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Fluoroethylene carbonate 25.% + Ethyl acetate 75.%</v>
      </c>
      <c r="BJ122" t="str">
        <f>TRIM(_xlfn.CONCAT(MainTbl[[#This Row],[Salt_text]]," ",MainTbl[[#This Row],[Solvent_text]]))</f>
        <v>1.1 M LiPF6 Fluoroethylene carbonate 25.% + Ethyl acetate 75.%</v>
      </c>
    </row>
    <row r="123" spans="1:62" x14ac:dyDescent="0.25">
      <c r="A123" t="s">
        <v>18</v>
      </c>
      <c r="B123" t="s">
        <v>51</v>
      </c>
      <c r="D123" t="s">
        <v>22</v>
      </c>
      <c r="G123">
        <v>0.53</v>
      </c>
      <c r="H123">
        <v>0.47</v>
      </c>
      <c r="I123">
        <v>0</v>
      </c>
      <c r="J123">
        <v>1</v>
      </c>
      <c r="K123">
        <v>0</v>
      </c>
      <c r="L123">
        <v>0.99939999999999996</v>
      </c>
      <c r="M123">
        <f t="shared" si="2"/>
        <v>99.94</v>
      </c>
      <c r="N123">
        <f t="shared" si="3"/>
        <v>3.2218487496163237</v>
      </c>
      <c r="O123">
        <f>IFERROR(MainTbl[[#This Row],[solv_1_ratio]]*VLOOKUP(MainTbl[[#This Row],[solvent_1_smiles]],SolvTbl[],13,FALSE),0)</f>
        <v>5.1047492232578779</v>
      </c>
      <c r="P123">
        <f>IFERROR(MainTbl[[#This Row],[solv_2_ratio]]*VLOOKUP(MainTbl[[#This Row],[solvent_2_smiles]],SolvTbl[],13,FALSE),0)</f>
        <v>3.1031316517437801</v>
      </c>
      <c r="Q123">
        <f>IFERROR(MainTbl[[#This Row],[solv_3_ratio]]*VLOOKUP(MainTbl[[#This Row],[solvent_3_smiles]],SolvTbl[],13,FALSE),0)</f>
        <v>0</v>
      </c>
      <c r="R123">
        <f>IFERROR(MainTbl[[#This Row],[salt_1_conc]],0)</f>
        <v>1</v>
      </c>
      <c r="S123">
        <f>IFERROR(MainTbl[[#This Row],[salt_2_conc]],0)</f>
        <v>0</v>
      </c>
      <c r="T12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13.312630098259536</v>
      </c>
      <c r="U12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23">
        <f>MainTbl[[#This Row],[O_from_solvents]]+MainTbl[[#This Row],[O_from_salts]]</f>
        <v>17.312630098259536</v>
      </c>
      <c r="W12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35.934655151750412</v>
      </c>
      <c r="X12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23">
        <f>MainTbl[[#This Row],[C_from_solvents]]+MainTbl[[#This Row],[C_from_salts]]</f>
        <v>35.934655151750412</v>
      </c>
      <c r="Z12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24.825053213950241</v>
      </c>
      <c r="AA12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123">
        <f>MainTbl[[#This Row],[F_from_solvents]]+MainTbl[[#This Row],[F_from_salts]]</f>
        <v>26.825053213950241</v>
      </c>
      <c r="AC12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63.460018839553896</v>
      </c>
      <c r="AD12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3">
        <f>MainTbl[[#This Row],[H_from_solvents]]+MainTbl[[#This Row],[H_from_salts]]</f>
        <v>63.460018839553896</v>
      </c>
      <c r="AF12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23">
        <f>MainTbl[[#This Row],[Li_from_solvents]]+MainTbl[[#This Row],[Li_from_salts]]</f>
        <v>1</v>
      </c>
      <c r="AI12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147.53235730351409</v>
      </c>
      <c r="AJ123" s="2">
        <f>IFERROR(MainTbl[[#This Row],[O_total]]/MainTbl[[#This Row],[TotalAtoms_all]],0)</f>
        <v>0.1173480205609591</v>
      </c>
      <c r="AK123" s="2">
        <f>IFERROR(MainTbl[[#This Row],[O_from_solvents]]/MainTbl[[#This Row],[TotalAtoms_all]],0)</f>
        <v>9.0235324247357099E-2</v>
      </c>
      <c r="AL123" s="2">
        <f>IFERROR(MainTbl[[#This Row],[O_from_salts]]/MainTbl[[#This Row],[TotalAtoms_all]],0)</f>
        <v>2.7112696313602004E-2</v>
      </c>
      <c r="AM123" s="2">
        <f>IFERROR(MainTbl[[#This Row],[C_total]]/MainTbl[[#This Row],[TotalAtoms_all]],0)</f>
        <v>0.24357134806585565</v>
      </c>
      <c r="AN123" s="2">
        <f>IFERROR(MainTbl[[#This Row],[C_from_solvents]]/MainTbl[[#This Row],[TotalAtoms_all]],0)</f>
        <v>0.24357134806585565</v>
      </c>
      <c r="AO123" s="2">
        <f>IFERROR(MainTbl[[#This Row],[C_from_salts]]/MainTbl[[#This Row],[TotalAtoms_all]],0)</f>
        <v>0</v>
      </c>
      <c r="AP123" s="2">
        <f>IFERROR(MainTbl[[#This Row],[F_total]]/MainTbl[[#This Row],[TotalAtoms_all]],0)</f>
        <v>0.18182488034651156</v>
      </c>
      <c r="AQ123" s="2">
        <f>IFERROR(MainTbl[[#This Row],[F_from_solvents]]/MainTbl[[#This Row],[TotalAtoms_all]],0)</f>
        <v>0.16826853218971055</v>
      </c>
      <c r="AR123" s="2">
        <f>IFERROR(MainTbl[[#This Row],[F_from_salts]]/MainTbl[[#This Row],[TotalAtoms_all]],0)</f>
        <v>1.3556348156801002E-2</v>
      </c>
      <c r="AS123" s="2">
        <f>IFERROR(MainTbl[[#This Row],[F_total]]/MainTbl[[#This Row],[O_total]],0)</f>
        <v>1.5494499138318101</v>
      </c>
      <c r="AT123" s="2">
        <f>IFERROR(MainTbl[[#This Row],[F_total]]/MainTbl[[#This Row],[C_total]],0)</f>
        <v>0.74649535665972755</v>
      </c>
      <c r="AU123" s="2">
        <f>IFERROR(MainTbl[[#This Row],[O_total]]/MainTbl[[#This Row],[C_total]],0)</f>
        <v>0.48178088881468561</v>
      </c>
      <c r="AV123" s="2">
        <f>IFERROR((MainTbl[[#This Row],[TotalAtoms_all]]-(MainTbl[[#This Row],[C_total]]+MainTbl[[#This Row],[H_total]]+MainTbl[[#This Row],[Li_total]]))/MainTbl[[#This Row],[C_total]],0)</f>
        <v>1.3117611150893058</v>
      </c>
      <c r="AW123" t="str">
        <f>IFERROR(VLOOKUP(MainTbl[[#This Row],[salt_1_smiles]],SaltTbl[],MATCH("Salt",SaltTbl[#Headers],0),FALSE),"")</f>
        <v>LiFSI</v>
      </c>
      <c r="AX123" t="str">
        <f>IFERROR(VLOOKUP(MainTbl[[#This Row],[salt_2_smiles]],SaltTbl[],MATCH("Salt",SaltTbl[#Headers],0),FALSE),"")</f>
        <v/>
      </c>
      <c r="AY123" t="str">
        <f>IFERROR(VLOOKUP(MainTbl[[#This Row],[solvent_1_smiles]],SolvTbl[],MATCH("Solvent",SolvTbl[#Headers],0),FALSE),"")</f>
        <v>DME (C4H10O2)</v>
      </c>
      <c r="AZ123" t="str">
        <f>IFERROR(VLOOKUP(MainTbl[[#This Row],[solvent_2_smiles]],SolvTbl[],MATCH("Solvent",SolvTbl[#Headers],0),FALSE),"")</f>
        <v>TTE (C5H4F8O)</v>
      </c>
      <c r="BA123" t="str">
        <f>IFERROR(VLOOKUP(MainTbl[[#This Row],[solvent_3_smiles]],SolvTbl[],MATCH("Solvent",SolvTbl[#Headers],0),FALSE),"")</f>
        <v/>
      </c>
      <c r="BB123">
        <f>--(MainTbl[[#This Row],[solv_1_ratio]]&gt;0)+--(MainTbl[[#This Row],[solv_2_ratio]]&gt;0)+--(MainTbl[[#This Row],[solv_3_ratio]]&gt;0)</f>
        <v>2</v>
      </c>
      <c r="BC123" t="str">
        <f>IF(AND(MainTbl[[#This Row],[SaltName1]]&lt;&gt;"",MainTbl[[#This Row],[salt_1_conc]]&gt;0),TEXT(MainTbl[[#This Row],[salt_1_conc]],"0.###")&amp;" M "&amp;MainTbl[[#This Row],[SaltName1]],"")</f>
        <v>1. M LiFSI</v>
      </c>
      <c r="BD123" t="str">
        <f>IF(AND(MainTbl[[#This Row],[SaltName2]]&lt;&gt;"",MainTbl[[#This Row],[salt_2_conc]]&gt;0),TEXT(MainTbl[[#This Row],[salt_2_conc]],"0.###")&amp;" M "&amp;MainTbl[[#This Row],[SaltName2]],"")</f>
        <v/>
      </c>
      <c r="BE12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123" t="str">
        <f>IF(MainTbl[[#This Row],[SolvCount]]=1,MainTbl[[#This Row],[SolvName1]],IF(MainTbl[[#This Row],[solv_1_ratio]]&gt;0,MainTbl[[#This Row],[SolvName1]]&amp;" "&amp;TEXT(MainTbl[[#This Row],[solv_1_ratio]]*100,"0.##")&amp;"%",""))</f>
        <v>DME (C4H10O2) 53.%</v>
      </c>
      <c r="BG123" t="str">
        <f>IF(MainTbl[[#This Row],[SolvCount]]=1,MainTbl[[#This Row],[SolvName2]],IF(MainTbl[[#This Row],[solv_2_ratio]]&gt;0,MainTbl[[#This Row],[SolvName2]]&amp;" "&amp;TEXT(MainTbl[[#This Row],[solv_2_ratio]]*100,"0.##")&amp;"%",""))</f>
        <v>TTE (C5H4F8O) 47.%</v>
      </c>
      <c r="BH12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53.% + TTE (C5H4F8O) 47.%</v>
      </c>
      <c r="BJ123" t="str">
        <f>TRIM(_xlfn.CONCAT(MainTbl[[#This Row],[Salt_text]]," ",MainTbl[[#This Row],[Solvent_text]]))</f>
        <v>1. M LiFSI DME (C4H10O2) 53.% + TTE (C5H4F8O) 47.%</v>
      </c>
    </row>
    <row r="124" spans="1:62" x14ac:dyDescent="0.25">
      <c r="A124" t="s">
        <v>18</v>
      </c>
      <c r="B124" t="s">
        <v>51</v>
      </c>
      <c r="D124" t="s">
        <v>22</v>
      </c>
      <c r="E124" t="s">
        <v>66</v>
      </c>
      <c r="G124">
        <v>0.53</v>
      </c>
      <c r="H124">
        <v>0.47</v>
      </c>
      <c r="I124">
        <v>0</v>
      </c>
      <c r="J124">
        <v>0.9</v>
      </c>
      <c r="K124">
        <v>0.1</v>
      </c>
      <c r="L124">
        <v>0.98109999999999997</v>
      </c>
      <c r="M124">
        <f t="shared" si="2"/>
        <v>98.11</v>
      </c>
      <c r="N124">
        <f t="shared" si="3"/>
        <v>1.7235381958267553</v>
      </c>
      <c r="O124">
        <f>IFERROR(MainTbl[[#This Row],[solv_1_ratio]]*VLOOKUP(MainTbl[[#This Row],[solvent_1_smiles]],SolvTbl[],13,FALSE),0)</f>
        <v>5.1047492232578779</v>
      </c>
      <c r="P124">
        <f>IFERROR(MainTbl[[#This Row],[solv_2_ratio]]*VLOOKUP(MainTbl[[#This Row],[solvent_2_smiles]],SolvTbl[],13,FALSE),0)</f>
        <v>3.1031316517437801</v>
      </c>
      <c r="Q124">
        <f>IFERROR(MainTbl[[#This Row],[solv_3_ratio]]*VLOOKUP(MainTbl[[#This Row],[solvent_3_smiles]],SolvTbl[],13,FALSE),0)</f>
        <v>0</v>
      </c>
      <c r="R124">
        <f>IFERROR(MainTbl[[#This Row],[salt_1_conc]],0)</f>
        <v>0.9</v>
      </c>
      <c r="S124">
        <f>IFERROR(MainTbl[[#This Row],[salt_2_conc]],0)</f>
        <v>0.1</v>
      </c>
      <c r="T12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13.312630098259536</v>
      </c>
      <c r="U12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3.6</v>
      </c>
      <c r="V124">
        <f>MainTbl[[#This Row],[O_from_solvents]]+MainTbl[[#This Row],[O_from_salts]]</f>
        <v>16.912630098259537</v>
      </c>
      <c r="W12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35.934655151750412</v>
      </c>
      <c r="X12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24">
        <f>MainTbl[[#This Row],[C_from_solvents]]+MainTbl[[#This Row],[C_from_salts]]</f>
        <v>35.934655151750412</v>
      </c>
      <c r="Z12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24.825053213950241</v>
      </c>
      <c r="AA12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2.2000000000000002</v>
      </c>
      <c r="AB124">
        <f>MainTbl[[#This Row],[F_from_solvents]]+MainTbl[[#This Row],[F_from_salts]]</f>
        <v>27.02505321395024</v>
      </c>
      <c r="AC12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63.460018839553896</v>
      </c>
      <c r="AD12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4">
        <f>MainTbl[[#This Row],[H_from_solvents]]+MainTbl[[#This Row],[H_from_salts]]</f>
        <v>63.460018839553896</v>
      </c>
      <c r="AF12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24">
        <f>MainTbl[[#This Row],[Li_from_solvents]]+MainTbl[[#This Row],[Li_from_salts]]</f>
        <v>1</v>
      </c>
      <c r="AI12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147.13235730351408</v>
      </c>
      <c r="AJ124" s="2">
        <f>IFERROR(MainTbl[[#This Row],[O_total]]/MainTbl[[#This Row],[TotalAtoms_all]],0)</f>
        <v>0.11494840705481987</v>
      </c>
      <c r="AK124" s="2">
        <f>IFERROR(MainTbl[[#This Row],[O_from_solvents]]/MainTbl[[#This Row],[TotalAtoms_all]],0)</f>
        <v>9.0480641663324854E-2</v>
      </c>
      <c r="AL124" s="2">
        <f>IFERROR(MainTbl[[#This Row],[O_from_salts]]/MainTbl[[#This Row],[TotalAtoms_all]],0)</f>
        <v>2.4467765391495012E-2</v>
      </c>
      <c r="AM124" s="2">
        <f>IFERROR(MainTbl[[#This Row],[C_total]]/MainTbl[[#This Row],[TotalAtoms_all]],0)</f>
        <v>0.24423353102147405</v>
      </c>
      <c r="AN124" s="2">
        <f>IFERROR(MainTbl[[#This Row],[C_from_solvents]]/MainTbl[[#This Row],[TotalAtoms_all]],0)</f>
        <v>0.24423353102147405</v>
      </c>
      <c r="AO124" s="2">
        <f>IFERROR(MainTbl[[#This Row],[C_from_salts]]/MainTbl[[#This Row],[TotalAtoms_all]],0)</f>
        <v>0</v>
      </c>
      <c r="AP124" s="2">
        <f>IFERROR(MainTbl[[#This Row],[F_total]]/MainTbl[[#This Row],[TotalAtoms_all]],0)</f>
        <v>0.18367851714766742</v>
      </c>
      <c r="AQ124" s="2">
        <f>IFERROR(MainTbl[[#This Row],[F_from_solvents]]/MainTbl[[#This Row],[TotalAtoms_all]],0)</f>
        <v>0.16872599385286491</v>
      </c>
      <c r="AR124" s="2">
        <f>IFERROR(MainTbl[[#This Row],[F_from_salts]]/MainTbl[[#This Row],[TotalAtoms_all]],0)</f>
        <v>1.4952523294802508E-2</v>
      </c>
      <c r="AS124" s="2">
        <f>IFERROR(MainTbl[[#This Row],[F_total]]/MainTbl[[#This Row],[O_total]],0)</f>
        <v>1.5979213792851392</v>
      </c>
      <c r="AT124" s="2">
        <f>IFERROR(MainTbl[[#This Row],[F_total]]/MainTbl[[#This Row],[C_total]],0)</f>
        <v>0.75206101463405373</v>
      </c>
      <c r="AU124" s="2">
        <f>IFERROR(MainTbl[[#This Row],[O_total]]/MainTbl[[#This Row],[C_total]],0)</f>
        <v>0.47064957286603337</v>
      </c>
      <c r="AV124" s="2">
        <f>IFERROR((MainTbl[[#This Row],[TotalAtoms_all]]-(MainTbl[[#This Row],[C_total]]+MainTbl[[#This Row],[H_total]]+MainTbl[[#This Row],[Li_total]]))/MainTbl[[#This Row],[C_total]],0)</f>
        <v>1.3006297991406532</v>
      </c>
      <c r="AW124" t="str">
        <f>IFERROR(VLOOKUP(MainTbl[[#This Row],[salt_1_smiles]],SaltTbl[],MATCH("Salt",SaltTbl[#Headers],0),FALSE),"")</f>
        <v>LiFSI</v>
      </c>
      <c r="AX124" t="str">
        <f>IFERROR(VLOOKUP(MainTbl[[#This Row],[salt_2_smiles]],SaltTbl[],MATCH("Salt",SaltTbl[#Headers],0),FALSE),"")</f>
        <v>LiBF4</v>
      </c>
      <c r="AY124" t="str">
        <f>IFERROR(VLOOKUP(MainTbl[[#This Row],[solvent_1_smiles]],SolvTbl[],MATCH("Solvent",SolvTbl[#Headers],0),FALSE),"")</f>
        <v>DME (C4H10O2)</v>
      </c>
      <c r="AZ124" t="str">
        <f>IFERROR(VLOOKUP(MainTbl[[#This Row],[solvent_2_smiles]],SolvTbl[],MATCH("Solvent",SolvTbl[#Headers],0),FALSE),"")</f>
        <v>TTE (C5H4F8O)</v>
      </c>
      <c r="BA124" t="str">
        <f>IFERROR(VLOOKUP(MainTbl[[#This Row],[solvent_3_smiles]],SolvTbl[],MATCH("Solvent",SolvTbl[#Headers],0),FALSE),"")</f>
        <v/>
      </c>
      <c r="BB124">
        <f>--(MainTbl[[#This Row],[solv_1_ratio]]&gt;0)+--(MainTbl[[#This Row],[solv_2_ratio]]&gt;0)+--(MainTbl[[#This Row],[solv_3_ratio]]&gt;0)</f>
        <v>2</v>
      </c>
      <c r="BC124" t="str">
        <f>IF(AND(MainTbl[[#This Row],[SaltName1]]&lt;&gt;"",MainTbl[[#This Row],[salt_1_conc]]&gt;0),TEXT(MainTbl[[#This Row],[salt_1_conc]],"0.###")&amp;" M "&amp;MainTbl[[#This Row],[SaltName1]],"")</f>
        <v>0.9 M LiFSI</v>
      </c>
      <c r="BD124" t="str">
        <f>IF(AND(MainTbl[[#This Row],[SaltName2]]&lt;&gt;"",MainTbl[[#This Row],[salt_2_conc]]&gt;0),TEXT(MainTbl[[#This Row],[salt_2_conc]],"0.###")&amp;" M "&amp;MainTbl[[#This Row],[SaltName2]],"")</f>
        <v>0.1 M LiBF4</v>
      </c>
      <c r="BE12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0.9 M LiFSI + 0.1 M LiBF4</v>
      </c>
      <c r="BF124" t="str">
        <f>IF(MainTbl[[#This Row],[SolvCount]]=1,MainTbl[[#This Row],[SolvName1]],IF(MainTbl[[#This Row],[solv_1_ratio]]&gt;0,MainTbl[[#This Row],[SolvName1]]&amp;" "&amp;TEXT(MainTbl[[#This Row],[solv_1_ratio]]*100,"0.##")&amp;"%",""))</f>
        <v>DME (C4H10O2) 53.%</v>
      </c>
      <c r="BG124" t="str">
        <f>IF(MainTbl[[#This Row],[SolvCount]]=1,MainTbl[[#This Row],[SolvName2]],IF(MainTbl[[#This Row],[solv_2_ratio]]&gt;0,MainTbl[[#This Row],[SolvName2]]&amp;" "&amp;TEXT(MainTbl[[#This Row],[solv_2_ratio]]*100,"0.##")&amp;"%",""))</f>
        <v>TTE (C5H4F8O) 47.%</v>
      </c>
      <c r="BH12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53.% + TTE (C5H4F8O) 47.%</v>
      </c>
      <c r="BJ124" t="str">
        <f>TRIM(_xlfn.CONCAT(MainTbl[[#This Row],[Salt_text]]," ",MainTbl[[#This Row],[Solvent_text]]))</f>
        <v>0.9 M LiFSI + 0.1 M LiBF4 DME (C4H10O2) 53.% + TTE (C5H4F8O) 47.%</v>
      </c>
    </row>
    <row r="125" spans="1:62" x14ac:dyDescent="0.25">
      <c r="A125" t="s">
        <v>18</v>
      </c>
      <c r="B125" t="s">
        <v>51</v>
      </c>
      <c r="D125" t="s">
        <v>22</v>
      </c>
      <c r="E125" t="s">
        <v>13</v>
      </c>
      <c r="G125">
        <v>0.53</v>
      </c>
      <c r="H125">
        <v>0.47</v>
      </c>
      <c r="I125">
        <v>0</v>
      </c>
      <c r="J125">
        <v>0.9</v>
      </c>
      <c r="K125">
        <v>0.1</v>
      </c>
      <c r="L125">
        <v>0.997</v>
      </c>
      <c r="M125">
        <f t="shared" si="2"/>
        <v>99.7</v>
      </c>
      <c r="N125">
        <f t="shared" si="3"/>
        <v>2.5228787452803374</v>
      </c>
      <c r="O125">
        <f>IFERROR(MainTbl[[#This Row],[solv_1_ratio]]*VLOOKUP(MainTbl[[#This Row],[solvent_1_smiles]],SolvTbl[],13,FALSE),0)</f>
        <v>5.1047492232578779</v>
      </c>
      <c r="P125">
        <f>IFERROR(MainTbl[[#This Row],[solv_2_ratio]]*VLOOKUP(MainTbl[[#This Row],[solvent_2_smiles]],SolvTbl[],13,FALSE),0)</f>
        <v>3.1031316517437801</v>
      </c>
      <c r="Q125">
        <f>IFERROR(MainTbl[[#This Row],[solv_3_ratio]]*VLOOKUP(MainTbl[[#This Row],[solvent_3_smiles]],SolvTbl[],13,FALSE),0)</f>
        <v>0</v>
      </c>
      <c r="R125">
        <f>IFERROR(MainTbl[[#This Row],[salt_1_conc]],0)</f>
        <v>0.9</v>
      </c>
      <c r="S125">
        <f>IFERROR(MainTbl[[#This Row],[salt_2_conc]],0)</f>
        <v>0.1</v>
      </c>
      <c r="T12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13.312630098259536</v>
      </c>
      <c r="U12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25">
        <f>MainTbl[[#This Row],[O_from_solvents]]+MainTbl[[#This Row],[O_from_salts]]</f>
        <v>17.312630098259536</v>
      </c>
      <c r="W12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35.934655151750412</v>
      </c>
      <c r="X12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25">
        <f>MainTbl[[#This Row],[C_from_solvents]]+MainTbl[[#This Row],[C_from_salts]]</f>
        <v>35.934655151750412</v>
      </c>
      <c r="Z12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24.825053213950241</v>
      </c>
      <c r="AA12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1.8</v>
      </c>
      <c r="AB125">
        <f>MainTbl[[#This Row],[F_from_solvents]]+MainTbl[[#This Row],[F_from_salts]]</f>
        <v>26.625053213950242</v>
      </c>
      <c r="AC12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63.460018839553896</v>
      </c>
      <c r="AD12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5">
        <f>MainTbl[[#This Row],[H_from_solvents]]+MainTbl[[#This Row],[H_from_salts]]</f>
        <v>63.460018839553896</v>
      </c>
      <c r="AF12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25">
        <f>MainTbl[[#This Row],[Li_from_solvents]]+MainTbl[[#This Row],[Li_from_salts]]</f>
        <v>1</v>
      </c>
      <c r="AI12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147.13235730351408</v>
      </c>
      <c r="AJ125" s="2">
        <f>IFERROR(MainTbl[[#This Row],[O_total]]/MainTbl[[#This Row],[TotalAtoms_all]],0)</f>
        <v>0.11766704765387487</v>
      </c>
      <c r="AK125" s="2">
        <f>IFERROR(MainTbl[[#This Row],[O_from_solvents]]/MainTbl[[#This Row],[TotalAtoms_all]],0)</f>
        <v>9.0480641663324854E-2</v>
      </c>
      <c r="AL125" s="2">
        <f>IFERROR(MainTbl[[#This Row],[O_from_salts]]/MainTbl[[#This Row],[TotalAtoms_all]],0)</f>
        <v>2.718640599055001E-2</v>
      </c>
      <c r="AM125" s="2">
        <f>IFERROR(MainTbl[[#This Row],[C_total]]/MainTbl[[#This Row],[TotalAtoms_all]],0)</f>
        <v>0.24423353102147405</v>
      </c>
      <c r="AN125" s="2">
        <f>IFERROR(MainTbl[[#This Row],[C_from_solvents]]/MainTbl[[#This Row],[TotalAtoms_all]],0)</f>
        <v>0.24423353102147405</v>
      </c>
      <c r="AO125" s="2">
        <f>IFERROR(MainTbl[[#This Row],[C_from_salts]]/MainTbl[[#This Row],[TotalAtoms_all]],0)</f>
        <v>0</v>
      </c>
      <c r="AP125" s="2">
        <f>IFERROR(MainTbl[[#This Row],[F_total]]/MainTbl[[#This Row],[TotalAtoms_all]],0)</f>
        <v>0.18095987654861242</v>
      </c>
      <c r="AQ125" s="2">
        <f>IFERROR(MainTbl[[#This Row],[F_from_solvents]]/MainTbl[[#This Row],[TotalAtoms_all]],0)</f>
        <v>0.16872599385286491</v>
      </c>
      <c r="AR125" s="2">
        <f>IFERROR(MainTbl[[#This Row],[F_from_salts]]/MainTbl[[#This Row],[TotalAtoms_all]],0)</f>
        <v>1.2233882695747506E-2</v>
      </c>
      <c r="AS125" s="2">
        <f>IFERROR(MainTbl[[#This Row],[F_total]]/MainTbl[[#This Row],[O_total]],0)</f>
        <v>1.5378976540731901</v>
      </c>
      <c r="AT125" s="2">
        <f>IFERROR(MainTbl[[#This Row],[F_total]]/MainTbl[[#This Row],[C_total]],0)</f>
        <v>0.74092969868540148</v>
      </c>
      <c r="AU125" s="2">
        <f>IFERROR(MainTbl[[#This Row],[O_total]]/MainTbl[[#This Row],[C_total]],0)</f>
        <v>0.48178088881468561</v>
      </c>
      <c r="AV125" s="2">
        <f>IFERROR((MainTbl[[#This Row],[TotalAtoms_all]]-(MainTbl[[#This Row],[C_total]]+MainTbl[[#This Row],[H_total]]+MainTbl[[#This Row],[Li_total]]))/MainTbl[[#This Row],[C_total]],0)</f>
        <v>1.3006297991406532</v>
      </c>
      <c r="AW125" t="str">
        <f>IFERROR(VLOOKUP(MainTbl[[#This Row],[salt_1_smiles]],SaltTbl[],MATCH("Salt",SaltTbl[#Headers],0),FALSE),"")</f>
        <v>LiFSI</v>
      </c>
      <c r="AX125" t="str">
        <f>IFERROR(VLOOKUP(MainTbl[[#This Row],[salt_2_smiles]],SaltTbl[],MATCH("Salt",SaltTbl[#Headers],0),FALSE),"")</f>
        <v>LiClO4</v>
      </c>
      <c r="AY125" t="str">
        <f>IFERROR(VLOOKUP(MainTbl[[#This Row],[solvent_1_smiles]],SolvTbl[],MATCH("Solvent",SolvTbl[#Headers],0),FALSE),"")</f>
        <v>DME (C4H10O2)</v>
      </c>
      <c r="AZ125" t="str">
        <f>IFERROR(VLOOKUP(MainTbl[[#This Row],[solvent_2_smiles]],SolvTbl[],MATCH("Solvent",SolvTbl[#Headers],0),FALSE),"")</f>
        <v>TTE (C5H4F8O)</v>
      </c>
      <c r="BA125" t="str">
        <f>IFERROR(VLOOKUP(MainTbl[[#This Row],[solvent_3_smiles]],SolvTbl[],MATCH("Solvent",SolvTbl[#Headers],0),FALSE),"")</f>
        <v/>
      </c>
      <c r="BB125">
        <f>--(MainTbl[[#This Row],[solv_1_ratio]]&gt;0)+--(MainTbl[[#This Row],[solv_2_ratio]]&gt;0)+--(MainTbl[[#This Row],[solv_3_ratio]]&gt;0)</f>
        <v>2</v>
      </c>
      <c r="BC125" t="str">
        <f>IF(AND(MainTbl[[#This Row],[SaltName1]]&lt;&gt;"",MainTbl[[#This Row],[salt_1_conc]]&gt;0),TEXT(MainTbl[[#This Row],[salt_1_conc]],"0.###")&amp;" M "&amp;MainTbl[[#This Row],[SaltName1]],"")</f>
        <v>0.9 M LiFSI</v>
      </c>
      <c r="BD125" t="str">
        <f>IF(AND(MainTbl[[#This Row],[SaltName2]]&lt;&gt;"",MainTbl[[#This Row],[salt_2_conc]]&gt;0),TEXT(MainTbl[[#This Row],[salt_2_conc]],"0.###")&amp;" M "&amp;MainTbl[[#This Row],[SaltName2]],"")</f>
        <v>0.1 M LiClO4</v>
      </c>
      <c r="BE12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0.9 M LiFSI + 0.1 M LiClO4</v>
      </c>
      <c r="BF125" t="str">
        <f>IF(MainTbl[[#This Row],[SolvCount]]=1,MainTbl[[#This Row],[SolvName1]],IF(MainTbl[[#This Row],[solv_1_ratio]]&gt;0,MainTbl[[#This Row],[SolvName1]]&amp;" "&amp;TEXT(MainTbl[[#This Row],[solv_1_ratio]]*100,"0.##")&amp;"%",""))</f>
        <v>DME (C4H10O2) 53.%</v>
      </c>
      <c r="BG125" t="str">
        <f>IF(MainTbl[[#This Row],[SolvCount]]=1,MainTbl[[#This Row],[SolvName2]],IF(MainTbl[[#This Row],[solv_2_ratio]]&gt;0,MainTbl[[#This Row],[SolvName2]]&amp;" "&amp;TEXT(MainTbl[[#This Row],[solv_2_ratio]]*100,"0.##")&amp;"%",""))</f>
        <v>TTE (C5H4F8O) 47.%</v>
      </c>
      <c r="BH12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53.% + TTE (C5H4F8O) 47.%</v>
      </c>
      <c r="BJ125" t="str">
        <f>TRIM(_xlfn.CONCAT(MainTbl[[#This Row],[Salt_text]]," ",MainTbl[[#This Row],[Solvent_text]]))</f>
        <v>0.9 M LiFSI + 0.1 M LiClO4 DME (C4H10O2) 53.% + TTE (C5H4F8O) 47.%</v>
      </c>
    </row>
    <row r="126" spans="1:62" x14ac:dyDescent="0.25">
      <c r="A126" t="s">
        <v>18</v>
      </c>
      <c r="B126" t="s">
        <v>51</v>
      </c>
      <c r="D126" t="s">
        <v>22</v>
      </c>
      <c r="E126" t="s">
        <v>39</v>
      </c>
      <c r="G126">
        <v>0.53</v>
      </c>
      <c r="H126">
        <v>0.47</v>
      </c>
      <c r="I126">
        <v>0</v>
      </c>
      <c r="J126">
        <v>0.9</v>
      </c>
      <c r="K126">
        <v>0.1</v>
      </c>
      <c r="L126">
        <v>0.99229999999999996</v>
      </c>
      <c r="M126">
        <f t="shared" si="2"/>
        <v>99.22999999999999</v>
      </c>
      <c r="N126">
        <f t="shared" si="3"/>
        <v>2.1135092748275159</v>
      </c>
      <c r="O126">
        <f>IFERROR(MainTbl[[#This Row],[solv_1_ratio]]*VLOOKUP(MainTbl[[#This Row],[solvent_1_smiles]],SolvTbl[],13,FALSE),0)</f>
        <v>5.1047492232578779</v>
      </c>
      <c r="P126">
        <f>IFERROR(MainTbl[[#This Row],[solv_2_ratio]]*VLOOKUP(MainTbl[[#This Row],[solvent_2_smiles]],SolvTbl[],13,FALSE),0)</f>
        <v>3.1031316517437801</v>
      </c>
      <c r="Q126">
        <f>IFERROR(MainTbl[[#This Row],[solv_3_ratio]]*VLOOKUP(MainTbl[[#This Row],[solvent_3_smiles]],SolvTbl[],13,FALSE),0)</f>
        <v>0</v>
      </c>
      <c r="R126">
        <f>IFERROR(MainTbl[[#This Row],[salt_1_conc]],0)</f>
        <v>0.9</v>
      </c>
      <c r="S126">
        <f>IFERROR(MainTbl[[#This Row],[salt_2_conc]],0)</f>
        <v>0.1</v>
      </c>
      <c r="T12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13.312630098259536</v>
      </c>
      <c r="U12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26">
        <f>MainTbl[[#This Row],[O_from_solvents]]+MainTbl[[#This Row],[O_from_salts]]</f>
        <v>17.312630098259536</v>
      </c>
      <c r="W12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35.934655151750412</v>
      </c>
      <c r="X12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0.2</v>
      </c>
      <c r="Y126">
        <f>MainTbl[[#This Row],[C_from_solvents]]+MainTbl[[#This Row],[C_from_salts]]</f>
        <v>36.134655151750415</v>
      </c>
      <c r="Z12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24.825053213950241</v>
      </c>
      <c r="AA12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126">
        <f>MainTbl[[#This Row],[F_from_solvents]]+MainTbl[[#This Row],[F_from_salts]]</f>
        <v>26.825053213950241</v>
      </c>
      <c r="AC12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63.460018839553896</v>
      </c>
      <c r="AD12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6">
        <f>MainTbl[[#This Row],[H_from_solvents]]+MainTbl[[#This Row],[H_from_salts]]</f>
        <v>63.460018839553896</v>
      </c>
      <c r="AF12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26">
        <f>MainTbl[[#This Row],[Li_from_solvents]]+MainTbl[[#This Row],[Li_from_salts]]</f>
        <v>1</v>
      </c>
      <c r="AI12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147.53235730351409</v>
      </c>
      <c r="AJ126" s="2">
        <f>IFERROR(MainTbl[[#This Row],[O_total]]/MainTbl[[#This Row],[TotalAtoms_all]],0)</f>
        <v>0.1173480205609591</v>
      </c>
      <c r="AK126" s="2">
        <f>IFERROR(MainTbl[[#This Row],[O_from_solvents]]/MainTbl[[#This Row],[TotalAtoms_all]],0)</f>
        <v>9.0235324247357099E-2</v>
      </c>
      <c r="AL126" s="2">
        <f>IFERROR(MainTbl[[#This Row],[O_from_salts]]/MainTbl[[#This Row],[TotalAtoms_all]],0)</f>
        <v>2.7112696313602004E-2</v>
      </c>
      <c r="AM126" s="2">
        <f>IFERROR(MainTbl[[#This Row],[C_total]]/MainTbl[[#This Row],[TotalAtoms_all]],0)</f>
        <v>0.24492698288153578</v>
      </c>
      <c r="AN126" s="2">
        <f>IFERROR(MainTbl[[#This Row],[C_from_solvents]]/MainTbl[[#This Row],[TotalAtoms_all]],0)</f>
        <v>0.24357134806585565</v>
      </c>
      <c r="AO126" s="2">
        <f>IFERROR(MainTbl[[#This Row],[C_from_salts]]/MainTbl[[#This Row],[TotalAtoms_all]],0)</f>
        <v>1.3556348156801002E-3</v>
      </c>
      <c r="AP126" s="2">
        <f>IFERROR(MainTbl[[#This Row],[F_total]]/MainTbl[[#This Row],[TotalAtoms_all]],0)</f>
        <v>0.18182488034651156</v>
      </c>
      <c r="AQ126" s="2">
        <f>IFERROR(MainTbl[[#This Row],[F_from_solvents]]/MainTbl[[#This Row],[TotalAtoms_all]],0)</f>
        <v>0.16826853218971055</v>
      </c>
      <c r="AR126" s="2">
        <f>IFERROR(MainTbl[[#This Row],[F_from_salts]]/MainTbl[[#This Row],[TotalAtoms_all]],0)</f>
        <v>1.3556348156801002E-2</v>
      </c>
      <c r="AS126" s="2">
        <f>IFERROR(MainTbl[[#This Row],[F_total]]/MainTbl[[#This Row],[O_total]],0)</f>
        <v>1.5494499138318101</v>
      </c>
      <c r="AT126" s="2">
        <f>IFERROR(MainTbl[[#This Row],[F_total]]/MainTbl[[#This Row],[C_total]],0)</f>
        <v>0.74236361468779077</v>
      </c>
      <c r="AU126" s="2">
        <f>IFERROR(MainTbl[[#This Row],[O_total]]/MainTbl[[#This Row],[C_total]],0)</f>
        <v>0.47911430247649361</v>
      </c>
      <c r="AV126" s="2">
        <f>IFERROR((MainTbl[[#This Row],[TotalAtoms_all]]-(MainTbl[[#This Row],[C_total]]+MainTbl[[#This Row],[H_total]]+MainTbl[[#This Row],[Li_total]]))/MainTbl[[#This Row],[C_total]],0)</f>
        <v>1.2989658574321843</v>
      </c>
      <c r="AW126" t="str">
        <f>IFERROR(VLOOKUP(MainTbl[[#This Row],[salt_1_smiles]],SaltTbl[],MATCH("Salt",SaltTbl[#Headers],0),FALSE),"")</f>
        <v>LiFSI</v>
      </c>
      <c r="AX126" t="str">
        <f>IFERROR(VLOOKUP(MainTbl[[#This Row],[salt_2_smiles]],SaltTbl[],MATCH("Salt",SaltTbl[#Headers],0),FALSE),"")</f>
        <v>LIFOB</v>
      </c>
      <c r="AY126" t="str">
        <f>IFERROR(VLOOKUP(MainTbl[[#This Row],[solvent_1_smiles]],SolvTbl[],MATCH("Solvent",SolvTbl[#Headers],0),FALSE),"")</f>
        <v>DME (C4H10O2)</v>
      </c>
      <c r="AZ126" t="str">
        <f>IFERROR(VLOOKUP(MainTbl[[#This Row],[solvent_2_smiles]],SolvTbl[],MATCH("Solvent",SolvTbl[#Headers],0),FALSE),"")</f>
        <v>TTE (C5H4F8O)</v>
      </c>
      <c r="BA126" t="str">
        <f>IFERROR(VLOOKUP(MainTbl[[#This Row],[solvent_3_smiles]],SolvTbl[],MATCH("Solvent",SolvTbl[#Headers],0),FALSE),"")</f>
        <v/>
      </c>
      <c r="BB126">
        <f>--(MainTbl[[#This Row],[solv_1_ratio]]&gt;0)+--(MainTbl[[#This Row],[solv_2_ratio]]&gt;0)+--(MainTbl[[#This Row],[solv_3_ratio]]&gt;0)</f>
        <v>2</v>
      </c>
      <c r="BC126" t="str">
        <f>IF(AND(MainTbl[[#This Row],[SaltName1]]&lt;&gt;"",MainTbl[[#This Row],[salt_1_conc]]&gt;0),TEXT(MainTbl[[#This Row],[salt_1_conc]],"0.###")&amp;" M "&amp;MainTbl[[#This Row],[SaltName1]],"")</f>
        <v>0.9 M LiFSI</v>
      </c>
      <c r="BD126" t="str">
        <f>IF(AND(MainTbl[[#This Row],[SaltName2]]&lt;&gt;"",MainTbl[[#This Row],[salt_2_conc]]&gt;0),TEXT(MainTbl[[#This Row],[salt_2_conc]],"0.###")&amp;" M "&amp;MainTbl[[#This Row],[SaltName2]],"")</f>
        <v>0.1 M LIFOB</v>
      </c>
      <c r="BE12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0.9 M LiFSI + 0.1 M LIFOB</v>
      </c>
      <c r="BF126" t="str">
        <f>IF(MainTbl[[#This Row],[SolvCount]]=1,MainTbl[[#This Row],[SolvName1]],IF(MainTbl[[#This Row],[solv_1_ratio]]&gt;0,MainTbl[[#This Row],[SolvName1]]&amp;" "&amp;TEXT(MainTbl[[#This Row],[solv_1_ratio]]*100,"0.##")&amp;"%",""))</f>
        <v>DME (C4H10O2) 53.%</v>
      </c>
      <c r="BG126" t="str">
        <f>IF(MainTbl[[#This Row],[SolvCount]]=1,MainTbl[[#This Row],[SolvName2]],IF(MainTbl[[#This Row],[solv_2_ratio]]&gt;0,MainTbl[[#This Row],[SolvName2]]&amp;" "&amp;TEXT(MainTbl[[#This Row],[solv_2_ratio]]*100,"0.##")&amp;"%",""))</f>
        <v>TTE (C5H4F8O) 47.%</v>
      </c>
      <c r="BH12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53.% + TTE (C5H4F8O) 47.%</v>
      </c>
      <c r="BJ126" t="str">
        <f>TRIM(_xlfn.CONCAT(MainTbl[[#This Row],[Salt_text]]," ",MainTbl[[#This Row],[Solvent_text]]))</f>
        <v>0.9 M LiFSI + 0.1 M LIFOB DME (C4H10O2) 53.% + TTE (C5H4F8O) 47.%</v>
      </c>
    </row>
    <row r="127" spans="1:62" x14ac:dyDescent="0.25">
      <c r="A127" t="s">
        <v>18</v>
      </c>
      <c r="B127" t="s">
        <v>51</v>
      </c>
      <c r="D127" t="s">
        <v>22</v>
      </c>
      <c r="E127" t="s">
        <v>67</v>
      </c>
      <c r="G127">
        <v>0.53</v>
      </c>
      <c r="H127">
        <v>0.47</v>
      </c>
      <c r="I127">
        <v>0</v>
      </c>
      <c r="J127">
        <v>0.9</v>
      </c>
      <c r="K127">
        <v>0.1</v>
      </c>
      <c r="L127">
        <v>0.99480000000000002</v>
      </c>
      <c r="M127">
        <f t="shared" si="2"/>
        <v>99.48</v>
      </c>
      <c r="N127">
        <f t="shared" si="3"/>
        <v>2.2839966563652023</v>
      </c>
      <c r="O127">
        <f>IFERROR(MainTbl[[#This Row],[solv_1_ratio]]*VLOOKUP(MainTbl[[#This Row],[solvent_1_smiles]],SolvTbl[],13,FALSE),0)</f>
        <v>5.1047492232578779</v>
      </c>
      <c r="P127">
        <f>IFERROR(MainTbl[[#This Row],[solv_2_ratio]]*VLOOKUP(MainTbl[[#This Row],[solvent_2_smiles]],SolvTbl[],13,FALSE),0)</f>
        <v>3.1031316517437801</v>
      </c>
      <c r="Q127">
        <f>IFERROR(MainTbl[[#This Row],[solv_3_ratio]]*VLOOKUP(MainTbl[[#This Row],[solvent_3_smiles]],SolvTbl[],13,FALSE),0)</f>
        <v>0</v>
      </c>
      <c r="R127">
        <f>IFERROR(MainTbl[[#This Row],[salt_1_conc]],0)</f>
        <v>0.9</v>
      </c>
      <c r="S127">
        <f>IFERROR(MainTbl[[#This Row],[salt_2_conc]],0)</f>
        <v>0.1</v>
      </c>
      <c r="T12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13.312630098259536</v>
      </c>
      <c r="U12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3.9000000000000004</v>
      </c>
      <c r="V127">
        <f>MainTbl[[#This Row],[O_from_solvents]]+MainTbl[[#This Row],[O_from_salts]]</f>
        <v>17.212630098259538</v>
      </c>
      <c r="W12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35.934655151750412</v>
      </c>
      <c r="X12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0.1</v>
      </c>
      <c r="Y127">
        <f>MainTbl[[#This Row],[C_from_solvents]]+MainTbl[[#This Row],[C_from_salts]]</f>
        <v>36.034655151750414</v>
      </c>
      <c r="Z12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24.825053213950241</v>
      </c>
      <c r="AA12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2.1</v>
      </c>
      <c r="AB127">
        <f>MainTbl[[#This Row],[F_from_solvents]]+MainTbl[[#This Row],[F_from_salts]]</f>
        <v>26.925053213950243</v>
      </c>
      <c r="AC12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63.460018839553896</v>
      </c>
      <c r="AD12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7">
        <f>MainTbl[[#This Row],[H_from_solvents]]+MainTbl[[#This Row],[H_from_salts]]</f>
        <v>63.460018839553896</v>
      </c>
      <c r="AF12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27">
        <f>MainTbl[[#This Row],[Li_from_solvents]]+MainTbl[[#This Row],[Li_from_salts]]</f>
        <v>1</v>
      </c>
      <c r="AI12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147.4323573035141</v>
      </c>
      <c r="AJ127" s="2">
        <f>IFERROR(MainTbl[[#This Row],[O_total]]/MainTbl[[#This Row],[TotalAtoms_all]],0)</f>
        <v>0.11674933788669246</v>
      </c>
      <c r="AK127" s="2">
        <f>IFERROR(MainTbl[[#This Row],[O_from_solvents]]/MainTbl[[#This Row],[TotalAtoms_all]],0)</f>
        <v>9.029652880644963E-2</v>
      </c>
      <c r="AL127" s="2">
        <f>IFERROR(MainTbl[[#This Row],[O_from_salts]]/MainTbl[[#This Row],[TotalAtoms_all]],0)</f>
        <v>2.6452809080242813E-2</v>
      </c>
      <c r="AM127" s="2">
        <f>IFERROR(MainTbl[[#This Row],[C_total]]/MainTbl[[#This Row],[TotalAtoms_all]],0)</f>
        <v>0.24441483410298506</v>
      </c>
      <c r="AN127" s="2">
        <f>IFERROR(MainTbl[[#This Row],[C_from_solvents]]/MainTbl[[#This Row],[TotalAtoms_all]],0)</f>
        <v>0.24373655694708138</v>
      </c>
      <c r="AO127" s="2">
        <f>IFERROR(MainTbl[[#This Row],[C_from_salts]]/MainTbl[[#This Row],[TotalAtoms_all]],0)</f>
        <v>6.7827715590366186E-4</v>
      </c>
      <c r="AP127" s="2">
        <f>IFERROR(MainTbl[[#This Row],[F_total]]/MainTbl[[#This Row],[TotalAtoms_all]],0)</f>
        <v>0.18262648516512919</v>
      </c>
      <c r="AQ127" s="2">
        <f>IFERROR(MainTbl[[#This Row],[F_from_solvents]]/MainTbl[[#This Row],[TotalAtoms_all]],0)</f>
        <v>0.16838266489115228</v>
      </c>
      <c r="AR127" s="2">
        <f>IFERROR(MainTbl[[#This Row],[F_from_salts]]/MainTbl[[#This Row],[TotalAtoms_all]],0)</f>
        <v>1.4243820273976898E-2</v>
      </c>
      <c r="AS127" s="2">
        <f>IFERROR(MainTbl[[#This Row],[F_total]]/MainTbl[[#This Row],[O_total]],0)</f>
        <v>1.564261420843104</v>
      </c>
      <c r="AT127" s="2">
        <f>IFERROR(MainTbl[[#This Row],[F_total]]/MainTbl[[#This Row],[C_total]],0)</f>
        <v>0.7471988590028823</v>
      </c>
      <c r="AU127" s="2">
        <f>IFERROR(MainTbl[[#This Row],[O_total]]/MainTbl[[#This Row],[C_total]],0)</f>
        <v>0.47766878927446654</v>
      </c>
      <c r="AV127" s="2">
        <f>IFERROR((MainTbl[[#This Row],[TotalAtoms_all]]-(MainTbl[[#This Row],[C_total]]+MainTbl[[#This Row],[H_total]]+MainTbl[[#This Row],[Li_total]]))/MainTbl[[#This Row],[C_total]],0)</f>
        <v>1.3025706258196215</v>
      </c>
      <c r="AW127" t="str">
        <f>IFERROR(VLOOKUP(MainTbl[[#This Row],[salt_1_smiles]],SaltTbl[],MATCH("Salt",SaltTbl[#Headers],0),FALSE),"")</f>
        <v>LiFSI</v>
      </c>
      <c r="AX127" t="str">
        <f>IFERROR(VLOOKUP(MainTbl[[#This Row],[salt_2_smiles]],SaltTbl[],MATCH("Salt",SaltTbl[#Headers],0),FALSE),"")</f>
        <v>LiTf</v>
      </c>
      <c r="AY127" t="str">
        <f>IFERROR(VLOOKUP(MainTbl[[#This Row],[solvent_1_smiles]],SolvTbl[],MATCH("Solvent",SolvTbl[#Headers],0),FALSE),"")</f>
        <v>DME (C4H10O2)</v>
      </c>
      <c r="AZ127" t="str">
        <f>IFERROR(VLOOKUP(MainTbl[[#This Row],[solvent_2_smiles]],SolvTbl[],MATCH("Solvent",SolvTbl[#Headers],0),FALSE),"")</f>
        <v>TTE (C5H4F8O)</v>
      </c>
      <c r="BA127" t="str">
        <f>IFERROR(VLOOKUP(MainTbl[[#This Row],[solvent_3_smiles]],SolvTbl[],MATCH("Solvent",SolvTbl[#Headers],0),FALSE),"")</f>
        <v/>
      </c>
      <c r="BB127">
        <f>--(MainTbl[[#This Row],[solv_1_ratio]]&gt;0)+--(MainTbl[[#This Row],[solv_2_ratio]]&gt;0)+--(MainTbl[[#This Row],[solv_3_ratio]]&gt;0)</f>
        <v>2</v>
      </c>
      <c r="BC127" t="str">
        <f>IF(AND(MainTbl[[#This Row],[SaltName1]]&lt;&gt;"",MainTbl[[#This Row],[salt_1_conc]]&gt;0),TEXT(MainTbl[[#This Row],[salt_1_conc]],"0.###")&amp;" M "&amp;MainTbl[[#This Row],[SaltName1]],"")</f>
        <v>0.9 M LiFSI</v>
      </c>
      <c r="BD127" t="str">
        <f>IF(AND(MainTbl[[#This Row],[SaltName2]]&lt;&gt;"",MainTbl[[#This Row],[salt_2_conc]]&gt;0),TEXT(MainTbl[[#This Row],[salt_2_conc]],"0.###")&amp;" M "&amp;MainTbl[[#This Row],[SaltName2]],"")</f>
        <v>0.1 M LiTf</v>
      </c>
      <c r="BE12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0.9 M LiFSI + 0.1 M LiTf</v>
      </c>
      <c r="BF127" t="str">
        <f>IF(MainTbl[[#This Row],[SolvCount]]=1,MainTbl[[#This Row],[SolvName1]],IF(MainTbl[[#This Row],[solv_1_ratio]]&gt;0,MainTbl[[#This Row],[SolvName1]]&amp;" "&amp;TEXT(MainTbl[[#This Row],[solv_1_ratio]]*100,"0.##")&amp;"%",""))</f>
        <v>DME (C4H10O2) 53.%</v>
      </c>
      <c r="BG127" t="str">
        <f>IF(MainTbl[[#This Row],[SolvCount]]=1,MainTbl[[#This Row],[SolvName2]],IF(MainTbl[[#This Row],[solv_2_ratio]]&gt;0,MainTbl[[#This Row],[SolvName2]]&amp;" "&amp;TEXT(MainTbl[[#This Row],[solv_2_ratio]]*100,"0.##")&amp;"%",""))</f>
        <v>TTE (C5H4F8O) 47.%</v>
      </c>
      <c r="BH12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53.% + TTE (C5H4F8O) 47.%</v>
      </c>
      <c r="BJ127" t="str">
        <f>TRIM(_xlfn.CONCAT(MainTbl[[#This Row],[Salt_text]]," ",MainTbl[[#This Row],[Solvent_text]]))</f>
        <v>0.9 M LiFSI + 0.1 M LiTf DME (C4H10O2) 53.% + TTE (C5H4F8O) 47.%</v>
      </c>
    </row>
    <row r="128" spans="1:62" x14ac:dyDescent="0.25">
      <c r="A128" t="s">
        <v>18</v>
      </c>
      <c r="B128" t="s">
        <v>51</v>
      </c>
      <c r="D128" t="s">
        <v>22</v>
      </c>
      <c r="E128" t="s">
        <v>29</v>
      </c>
      <c r="G128">
        <v>0.53</v>
      </c>
      <c r="H128">
        <v>0.47</v>
      </c>
      <c r="I128">
        <v>0</v>
      </c>
      <c r="J128">
        <v>0.9</v>
      </c>
      <c r="K128">
        <v>0.1</v>
      </c>
      <c r="L128">
        <v>0.99529999999999996</v>
      </c>
      <c r="M128">
        <f t="shared" si="2"/>
        <v>99.53</v>
      </c>
      <c r="N128">
        <f t="shared" si="3"/>
        <v>2.3279021420642789</v>
      </c>
      <c r="O128">
        <f>IFERROR(MainTbl[[#This Row],[solv_1_ratio]]*VLOOKUP(MainTbl[[#This Row],[solvent_1_smiles]],SolvTbl[],13,FALSE),0)</f>
        <v>5.1047492232578779</v>
      </c>
      <c r="P128">
        <f>IFERROR(MainTbl[[#This Row],[solv_2_ratio]]*VLOOKUP(MainTbl[[#This Row],[solvent_2_smiles]],SolvTbl[],13,FALSE),0)</f>
        <v>3.1031316517437801</v>
      </c>
      <c r="Q128">
        <f>IFERROR(MainTbl[[#This Row],[solv_3_ratio]]*VLOOKUP(MainTbl[[#This Row],[solvent_3_smiles]],SolvTbl[],13,FALSE),0)</f>
        <v>0</v>
      </c>
      <c r="R128">
        <f>IFERROR(MainTbl[[#This Row],[salt_1_conc]],0)</f>
        <v>0.9</v>
      </c>
      <c r="S128">
        <f>IFERROR(MainTbl[[#This Row],[salt_2_conc]],0)</f>
        <v>0.1</v>
      </c>
      <c r="T12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13.312630098259536</v>
      </c>
      <c r="U12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3.6</v>
      </c>
      <c r="V128">
        <f>MainTbl[[#This Row],[O_from_solvents]]+MainTbl[[#This Row],[O_from_salts]]</f>
        <v>16.912630098259537</v>
      </c>
      <c r="W12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35.934655151750412</v>
      </c>
      <c r="X12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28">
        <f>MainTbl[[#This Row],[C_from_solvents]]+MainTbl[[#This Row],[C_from_salts]]</f>
        <v>35.934655151750412</v>
      </c>
      <c r="Z12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24.825053213950241</v>
      </c>
      <c r="AA12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2.4000000000000004</v>
      </c>
      <c r="AB128">
        <f>MainTbl[[#This Row],[F_from_solvents]]+MainTbl[[#This Row],[F_from_salts]]</f>
        <v>27.22505321395024</v>
      </c>
      <c r="AC12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63.460018839553896</v>
      </c>
      <c r="AD12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8">
        <f>MainTbl[[#This Row],[H_from_solvents]]+MainTbl[[#This Row],[H_from_salts]]</f>
        <v>63.460018839553896</v>
      </c>
      <c r="AF12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28">
        <f>MainTbl[[#This Row],[Li_from_solvents]]+MainTbl[[#This Row],[Li_from_salts]]</f>
        <v>1</v>
      </c>
      <c r="AI12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147.3323573035141</v>
      </c>
      <c r="AJ128" s="2">
        <f>IFERROR(MainTbl[[#This Row],[O_total]]/MainTbl[[#This Row],[TotalAtoms_all]],0)</f>
        <v>0.11479236745950135</v>
      </c>
      <c r="AK128" s="2">
        <f>IFERROR(MainTbl[[#This Row],[O_from_solvents]]/MainTbl[[#This Row],[TotalAtoms_all]],0)</f>
        <v>9.0357816449204459E-2</v>
      </c>
      <c r="AL128" s="2">
        <f>IFERROR(MainTbl[[#This Row],[O_from_salts]]/MainTbl[[#This Row],[TotalAtoms_all]],0)</f>
        <v>2.443455101029687E-2</v>
      </c>
      <c r="AM128" s="2">
        <f>IFERROR(MainTbl[[#This Row],[C_total]]/MainTbl[[#This Row],[TotalAtoms_all]],0)</f>
        <v>0.24390199009524241</v>
      </c>
      <c r="AN128" s="2">
        <f>IFERROR(MainTbl[[#This Row],[C_from_solvents]]/MainTbl[[#This Row],[TotalAtoms_all]],0)</f>
        <v>0.24390199009524241</v>
      </c>
      <c r="AO128" s="2">
        <f>IFERROR(MainTbl[[#This Row],[C_from_salts]]/MainTbl[[#This Row],[TotalAtoms_all]],0)</f>
        <v>0</v>
      </c>
      <c r="AP128" s="2">
        <f>IFERROR(MainTbl[[#This Row],[F_total]]/MainTbl[[#This Row],[TotalAtoms_all]],0)</f>
        <v>0.18478665319842053</v>
      </c>
      <c r="AQ128" s="2">
        <f>IFERROR(MainTbl[[#This Row],[F_from_solvents]]/MainTbl[[#This Row],[TotalAtoms_all]],0)</f>
        <v>0.16849695252488928</v>
      </c>
      <c r="AR128" s="2">
        <f>IFERROR(MainTbl[[#This Row],[F_from_salts]]/MainTbl[[#This Row],[TotalAtoms_all]],0)</f>
        <v>1.6289700673531249E-2</v>
      </c>
      <c r="AS128" s="2">
        <f>IFERROR(MainTbl[[#This Row],[F_total]]/MainTbl[[#This Row],[O_total]],0)</f>
        <v>1.6097468611196046</v>
      </c>
      <c r="AT128" s="2">
        <f>IFERROR(MainTbl[[#This Row],[F_total]]/MainTbl[[#This Row],[C_total]],0)</f>
        <v>0.75762667260837979</v>
      </c>
      <c r="AU128" s="2">
        <f>IFERROR(MainTbl[[#This Row],[O_total]]/MainTbl[[#This Row],[C_total]],0)</f>
        <v>0.47064957286603337</v>
      </c>
      <c r="AV128" s="2">
        <f>IFERROR((MainTbl[[#This Row],[TotalAtoms_all]]-(MainTbl[[#This Row],[C_total]]+MainTbl[[#This Row],[H_total]]+MainTbl[[#This Row],[Li_total]]))/MainTbl[[#This Row],[C_total]],0)</f>
        <v>1.3061954571149799</v>
      </c>
      <c r="AW128" t="str">
        <f>IFERROR(VLOOKUP(MainTbl[[#This Row],[salt_1_smiles]],SaltTbl[],MATCH("Salt",SaltTbl[#Headers],0),FALSE),"")</f>
        <v>LiFSI</v>
      </c>
      <c r="AX128" t="str">
        <f>IFERROR(VLOOKUP(MainTbl[[#This Row],[salt_2_smiles]],SaltTbl[],MATCH("Salt",SaltTbl[#Headers],0),FALSE),"")</f>
        <v>LiPF6</v>
      </c>
      <c r="AY128" t="str">
        <f>IFERROR(VLOOKUP(MainTbl[[#This Row],[solvent_1_smiles]],SolvTbl[],MATCH("Solvent",SolvTbl[#Headers],0),FALSE),"")</f>
        <v>DME (C4H10O2)</v>
      </c>
      <c r="AZ128" t="str">
        <f>IFERROR(VLOOKUP(MainTbl[[#This Row],[solvent_2_smiles]],SolvTbl[],MATCH("Solvent",SolvTbl[#Headers],0),FALSE),"")</f>
        <v>TTE (C5H4F8O)</v>
      </c>
      <c r="BA128" t="str">
        <f>IFERROR(VLOOKUP(MainTbl[[#This Row],[solvent_3_smiles]],SolvTbl[],MATCH("Solvent",SolvTbl[#Headers],0),FALSE),"")</f>
        <v/>
      </c>
      <c r="BB128">
        <f>--(MainTbl[[#This Row],[solv_1_ratio]]&gt;0)+--(MainTbl[[#This Row],[solv_2_ratio]]&gt;0)+--(MainTbl[[#This Row],[solv_3_ratio]]&gt;0)</f>
        <v>2</v>
      </c>
      <c r="BC128" t="str">
        <f>IF(AND(MainTbl[[#This Row],[SaltName1]]&lt;&gt;"",MainTbl[[#This Row],[salt_1_conc]]&gt;0),TEXT(MainTbl[[#This Row],[salt_1_conc]],"0.###")&amp;" M "&amp;MainTbl[[#This Row],[SaltName1]],"")</f>
        <v>0.9 M LiFSI</v>
      </c>
      <c r="BD128" t="str">
        <f>IF(AND(MainTbl[[#This Row],[SaltName2]]&lt;&gt;"",MainTbl[[#This Row],[salt_2_conc]]&gt;0),TEXT(MainTbl[[#This Row],[salt_2_conc]],"0.###")&amp;" M "&amp;MainTbl[[#This Row],[SaltName2]],"")</f>
        <v>0.1 M LiPF6</v>
      </c>
      <c r="BE12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0.9 M LiFSI + 0.1 M LiPF6</v>
      </c>
      <c r="BF128" t="str">
        <f>IF(MainTbl[[#This Row],[SolvCount]]=1,MainTbl[[#This Row],[SolvName1]],IF(MainTbl[[#This Row],[solv_1_ratio]]&gt;0,MainTbl[[#This Row],[SolvName1]]&amp;" "&amp;TEXT(MainTbl[[#This Row],[solv_1_ratio]]*100,"0.##")&amp;"%",""))</f>
        <v>DME (C4H10O2) 53.%</v>
      </c>
      <c r="BG128" t="str">
        <f>IF(MainTbl[[#This Row],[SolvCount]]=1,MainTbl[[#This Row],[SolvName2]],IF(MainTbl[[#This Row],[solv_2_ratio]]&gt;0,MainTbl[[#This Row],[SolvName2]]&amp;" "&amp;TEXT(MainTbl[[#This Row],[solv_2_ratio]]*100,"0.##")&amp;"%",""))</f>
        <v>TTE (C5H4F8O) 47.%</v>
      </c>
      <c r="BH12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53.% + TTE (C5H4F8O) 47.%</v>
      </c>
      <c r="BJ128" t="str">
        <f>TRIM(_xlfn.CONCAT(MainTbl[[#This Row],[Salt_text]]," ",MainTbl[[#This Row],[Solvent_text]]))</f>
        <v>0.9 M LiFSI + 0.1 M LiPF6 DME (C4H10O2) 53.% + TTE (C5H4F8O) 47.%</v>
      </c>
    </row>
    <row r="129" spans="1:62" x14ac:dyDescent="0.25">
      <c r="A129" t="s">
        <v>18</v>
      </c>
      <c r="B129" t="s">
        <v>51</v>
      </c>
      <c r="D129" t="s">
        <v>22</v>
      </c>
      <c r="E129" t="s">
        <v>23</v>
      </c>
      <c r="G129">
        <v>0.53</v>
      </c>
      <c r="H129">
        <v>0.47</v>
      </c>
      <c r="I129">
        <v>0</v>
      </c>
      <c r="J129">
        <v>0.9</v>
      </c>
      <c r="K129">
        <v>0.1</v>
      </c>
      <c r="L129">
        <v>0.99939999999999996</v>
      </c>
      <c r="M129">
        <f t="shared" si="2"/>
        <v>99.94</v>
      </c>
      <c r="N129">
        <f t="shared" si="3"/>
        <v>3.2218487496163237</v>
      </c>
      <c r="O129">
        <f>IFERROR(MainTbl[[#This Row],[solv_1_ratio]]*VLOOKUP(MainTbl[[#This Row],[solvent_1_smiles]],SolvTbl[],13,FALSE),0)</f>
        <v>5.1047492232578779</v>
      </c>
      <c r="P129">
        <f>IFERROR(MainTbl[[#This Row],[solv_2_ratio]]*VLOOKUP(MainTbl[[#This Row],[solvent_2_smiles]],SolvTbl[],13,FALSE),0)</f>
        <v>3.1031316517437801</v>
      </c>
      <c r="Q129">
        <f>IFERROR(MainTbl[[#This Row],[solv_3_ratio]]*VLOOKUP(MainTbl[[#This Row],[solvent_3_smiles]],SolvTbl[],13,FALSE),0)</f>
        <v>0</v>
      </c>
      <c r="R129">
        <f>IFERROR(MainTbl[[#This Row],[salt_1_conc]],0)</f>
        <v>0.9</v>
      </c>
      <c r="S129">
        <f>IFERROR(MainTbl[[#This Row],[salt_2_conc]],0)</f>
        <v>0.1</v>
      </c>
      <c r="T12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13.312630098259536</v>
      </c>
      <c r="U12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29">
        <f>MainTbl[[#This Row],[O_from_solvents]]+MainTbl[[#This Row],[O_from_salts]]</f>
        <v>17.312630098259536</v>
      </c>
      <c r="W12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35.934655151750412</v>
      </c>
      <c r="X12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0.2</v>
      </c>
      <c r="Y129">
        <f>MainTbl[[#This Row],[C_from_solvents]]+MainTbl[[#This Row],[C_from_salts]]</f>
        <v>36.134655151750415</v>
      </c>
      <c r="Z12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24.825053213950241</v>
      </c>
      <c r="AA12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2.4000000000000004</v>
      </c>
      <c r="AB129">
        <f>MainTbl[[#This Row],[F_from_solvents]]+MainTbl[[#This Row],[F_from_salts]]</f>
        <v>27.22505321395024</v>
      </c>
      <c r="AC12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63.460018839553896</v>
      </c>
      <c r="AD12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29">
        <f>MainTbl[[#This Row],[H_from_solvents]]+MainTbl[[#This Row],[H_from_salts]]</f>
        <v>63.460018839553896</v>
      </c>
      <c r="AF12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2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29">
        <f>MainTbl[[#This Row],[Li_from_solvents]]+MainTbl[[#This Row],[Li_from_salts]]</f>
        <v>1</v>
      </c>
      <c r="AI12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148.13235730351408</v>
      </c>
      <c r="AJ129" s="2">
        <f>IFERROR(MainTbl[[#This Row],[O_total]]/MainTbl[[#This Row],[TotalAtoms_all]],0)</f>
        <v>0.11687271041523374</v>
      </c>
      <c r="AK129" s="2">
        <f>IFERROR(MainTbl[[#This Row],[O_from_solvents]]/MainTbl[[#This Row],[TotalAtoms_all]],0)</f>
        <v>8.9869832227018276E-2</v>
      </c>
      <c r="AL129" s="2">
        <f>IFERROR(MainTbl[[#This Row],[O_from_salts]]/MainTbl[[#This Row],[TotalAtoms_all]],0)</f>
        <v>2.7002878188215462E-2</v>
      </c>
      <c r="AM129" s="2">
        <f>IFERROR(MainTbl[[#This Row],[C_total]]/MainTbl[[#This Row],[TotalAtoms_all]],0)</f>
        <v>0.2439349228589722</v>
      </c>
      <c r="AN129" s="2">
        <f>IFERROR(MainTbl[[#This Row],[C_from_solvents]]/MainTbl[[#This Row],[TotalAtoms_all]],0)</f>
        <v>0.2425847789495614</v>
      </c>
      <c r="AO129" s="2">
        <f>IFERROR(MainTbl[[#This Row],[C_from_salts]]/MainTbl[[#This Row],[TotalAtoms_all]],0)</f>
        <v>1.3501439094107733E-3</v>
      </c>
      <c r="AP129" s="2">
        <f>IFERROR(MainTbl[[#This Row],[F_total]]/MainTbl[[#This Row],[TotalAtoms_all]],0)</f>
        <v>0.18378869890099556</v>
      </c>
      <c r="AQ129" s="2">
        <f>IFERROR(MainTbl[[#This Row],[F_from_solvents]]/MainTbl[[#This Row],[TotalAtoms_all]],0)</f>
        <v>0.1675869719880663</v>
      </c>
      <c r="AR129" s="2">
        <f>IFERROR(MainTbl[[#This Row],[F_from_salts]]/MainTbl[[#This Row],[TotalAtoms_all]],0)</f>
        <v>1.620172691292928E-2</v>
      </c>
      <c r="AS129" s="2">
        <f>IFERROR(MainTbl[[#This Row],[F_total]]/MainTbl[[#This Row],[O_total]],0)</f>
        <v>1.5725544333490504</v>
      </c>
      <c r="AT129" s="2">
        <f>IFERROR(MainTbl[[#This Row],[F_total]]/MainTbl[[#This Row],[C_total]],0)</f>
        <v>0.75343332044034794</v>
      </c>
      <c r="AU129" s="2">
        <f>IFERROR(MainTbl[[#This Row],[O_total]]/MainTbl[[#This Row],[C_total]],0)</f>
        <v>0.47911430247649361</v>
      </c>
      <c r="AV129" s="2">
        <f>IFERROR((MainTbl[[#This Row],[TotalAtoms_all]]-(MainTbl[[#This Row],[C_total]]+MainTbl[[#This Row],[H_total]]+MainTbl[[#This Row],[Li_total]]))/MainTbl[[#This Row],[C_total]],0)</f>
        <v>1.3155704160610198</v>
      </c>
      <c r="AW129" t="str">
        <f>IFERROR(VLOOKUP(MainTbl[[#This Row],[salt_1_smiles]],SaltTbl[],MATCH("Salt",SaltTbl[#Headers],0),FALSE),"")</f>
        <v>LiFSI</v>
      </c>
      <c r="AX129" t="str">
        <f>IFERROR(VLOOKUP(MainTbl[[#This Row],[salt_2_smiles]],SaltTbl[],MATCH("Salt",SaltTbl[#Headers],0),FALSE),"")</f>
        <v>LiTFSI</v>
      </c>
      <c r="AY129" t="str">
        <f>IFERROR(VLOOKUP(MainTbl[[#This Row],[solvent_1_smiles]],SolvTbl[],MATCH("Solvent",SolvTbl[#Headers],0),FALSE),"")</f>
        <v>DME (C4H10O2)</v>
      </c>
      <c r="AZ129" t="str">
        <f>IFERROR(VLOOKUP(MainTbl[[#This Row],[solvent_2_smiles]],SolvTbl[],MATCH("Solvent",SolvTbl[#Headers],0),FALSE),"")</f>
        <v>TTE (C5H4F8O)</v>
      </c>
      <c r="BA129" t="str">
        <f>IFERROR(VLOOKUP(MainTbl[[#This Row],[solvent_3_smiles]],SolvTbl[],MATCH("Solvent",SolvTbl[#Headers],0),FALSE),"")</f>
        <v/>
      </c>
      <c r="BB129">
        <f>--(MainTbl[[#This Row],[solv_1_ratio]]&gt;0)+--(MainTbl[[#This Row],[solv_2_ratio]]&gt;0)+--(MainTbl[[#This Row],[solv_3_ratio]]&gt;0)</f>
        <v>2</v>
      </c>
      <c r="BC129" t="str">
        <f>IF(AND(MainTbl[[#This Row],[SaltName1]]&lt;&gt;"",MainTbl[[#This Row],[salt_1_conc]]&gt;0),TEXT(MainTbl[[#This Row],[salt_1_conc]],"0.###")&amp;" M "&amp;MainTbl[[#This Row],[SaltName1]],"")</f>
        <v>0.9 M LiFSI</v>
      </c>
      <c r="BD129" t="str">
        <f>IF(AND(MainTbl[[#This Row],[SaltName2]]&lt;&gt;"",MainTbl[[#This Row],[salt_2_conc]]&gt;0),TEXT(MainTbl[[#This Row],[salt_2_conc]],"0.###")&amp;" M "&amp;MainTbl[[#This Row],[SaltName2]],"")</f>
        <v>0.1 M LiTFSI</v>
      </c>
      <c r="BE12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0.9 M LiFSI + 0.1 M LiTFSI</v>
      </c>
      <c r="BF129" t="str">
        <f>IF(MainTbl[[#This Row],[SolvCount]]=1,MainTbl[[#This Row],[SolvName1]],IF(MainTbl[[#This Row],[solv_1_ratio]]&gt;0,MainTbl[[#This Row],[SolvName1]]&amp;" "&amp;TEXT(MainTbl[[#This Row],[solv_1_ratio]]*100,"0.##")&amp;"%",""))</f>
        <v>DME (C4H10O2) 53.%</v>
      </c>
      <c r="BG129" t="str">
        <f>IF(MainTbl[[#This Row],[SolvCount]]=1,MainTbl[[#This Row],[SolvName2]],IF(MainTbl[[#This Row],[solv_2_ratio]]&gt;0,MainTbl[[#This Row],[SolvName2]]&amp;" "&amp;TEXT(MainTbl[[#This Row],[solv_2_ratio]]*100,"0.##")&amp;"%",""))</f>
        <v>TTE (C5H4F8O) 47.%</v>
      </c>
      <c r="BH12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2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DME (C4H10O2) 53.% + TTE (C5H4F8O) 47.%</v>
      </c>
      <c r="BJ129" t="str">
        <f>TRIM(_xlfn.CONCAT(MainTbl[[#This Row],[Salt_text]]," ",MainTbl[[#This Row],[Solvent_text]]))</f>
        <v>0.9 M LiFSI + 0.1 M LiTFSI DME (C4H10O2) 53.% + TTE (C5H4F8O) 47.%</v>
      </c>
    </row>
    <row r="130" spans="1:62" x14ac:dyDescent="0.25">
      <c r="A130" t="s">
        <v>68</v>
      </c>
      <c r="D130" t="s">
        <v>22</v>
      </c>
      <c r="G130">
        <v>1</v>
      </c>
      <c r="H130">
        <v>0</v>
      </c>
      <c r="I130">
        <v>0</v>
      </c>
      <c r="J130">
        <v>3.16</v>
      </c>
      <c r="K130">
        <v>0</v>
      </c>
      <c r="L130">
        <v>0.94699999999999995</v>
      </c>
      <c r="M130">
        <f t="shared" si="2"/>
        <v>94.699999999999989</v>
      </c>
      <c r="N130">
        <f t="shared" si="3"/>
        <v>1.2757241303992106</v>
      </c>
      <c r="O130">
        <f>IFERROR(MainTbl[[#This Row],[solv_1_ratio]]*VLOOKUP(MainTbl[[#This Row],[solvent_1_smiles]],SolvTbl[],13,FALSE),0)</f>
        <v>8.2236842105263168</v>
      </c>
      <c r="P130">
        <f>IFERROR(MainTbl[[#This Row],[solv_2_ratio]]*VLOOKUP(MainTbl[[#This Row],[solvent_2_smiles]],SolvTbl[],13,FALSE),0)</f>
        <v>0</v>
      </c>
      <c r="Q130">
        <f>IFERROR(MainTbl[[#This Row],[solv_3_ratio]]*VLOOKUP(MainTbl[[#This Row],[solvent_3_smiles]],SolvTbl[],13,FALSE),0)</f>
        <v>0</v>
      </c>
      <c r="R130">
        <f>IFERROR(MainTbl[[#This Row],[salt_1_conc]],0)</f>
        <v>3.16</v>
      </c>
      <c r="S130">
        <f>IFERROR(MainTbl[[#This Row],[salt_2_conc]],0)</f>
        <v>0</v>
      </c>
      <c r="T13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24.671052631578952</v>
      </c>
      <c r="U13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12.64</v>
      </c>
      <c r="V130">
        <f>MainTbl[[#This Row],[O_from_solvents]]+MainTbl[[#This Row],[O_from_salts]]</f>
        <v>37.311052631578953</v>
      </c>
      <c r="W13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32.894736842105267</v>
      </c>
      <c r="X13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0">
        <f>MainTbl[[#This Row],[C_from_solvents]]+MainTbl[[#This Row],[C_from_salts]]</f>
        <v>32.894736842105267</v>
      </c>
      <c r="Z13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24.671052631578952</v>
      </c>
      <c r="AA13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6.32</v>
      </c>
      <c r="AB130">
        <f>MainTbl[[#This Row],[F_from_solvents]]+MainTbl[[#This Row],[F_from_salts]]</f>
        <v>30.991052631578953</v>
      </c>
      <c r="AC13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41.118421052631582</v>
      </c>
      <c r="AD13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0">
        <f>MainTbl[[#This Row],[H_from_solvents]]+MainTbl[[#This Row],[H_from_salts]]</f>
        <v>41.118421052631582</v>
      </c>
      <c r="AF13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3.16</v>
      </c>
      <c r="AH130">
        <f>MainTbl[[#This Row],[Li_from_solvents]]+MainTbl[[#This Row],[Li_from_salts]]</f>
        <v>3.16</v>
      </c>
      <c r="AI13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154.95526315789476</v>
      </c>
      <c r="AJ130" s="2">
        <f>IFERROR(MainTbl[[#This Row],[O_total]]/MainTbl[[#This Row],[TotalAtoms_all]],0)</f>
        <v>0.24078596538899172</v>
      </c>
      <c r="AK130" s="2">
        <f>IFERROR(MainTbl[[#This Row],[O_from_solvents]]/MainTbl[[#This Row],[TotalAtoms_all]],0)</f>
        <v>0.15921403461100828</v>
      </c>
      <c r="AL130" s="2">
        <f>IFERROR(MainTbl[[#This Row],[O_from_salts]]/MainTbl[[#This Row],[TotalAtoms_all]],0)</f>
        <v>8.1571930777983442E-2</v>
      </c>
      <c r="AM130" s="2">
        <f>IFERROR(MainTbl[[#This Row],[C_total]]/MainTbl[[#This Row],[TotalAtoms_all]],0)</f>
        <v>0.21228537948134435</v>
      </c>
      <c r="AN130" s="2">
        <f>IFERROR(MainTbl[[#This Row],[C_from_solvents]]/MainTbl[[#This Row],[TotalAtoms_all]],0)</f>
        <v>0.21228537948134435</v>
      </c>
      <c r="AO130" s="2">
        <f>IFERROR(MainTbl[[#This Row],[C_from_salts]]/MainTbl[[#This Row],[TotalAtoms_all]],0)</f>
        <v>0</v>
      </c>
      <c r="AP130" s="2">
        <f>IFERROR(MainTbl[[#This Row],[F_total]]/MainTbl[[#This Row],[TotalAtoms_all]],0)</f>
        <v>0.2</v>
      </c>
      <c r="AQ130" s="2">
        <f>IFERROR(MainTbl[[#This Row],[F_from_solvents]]/MainTbl[[#This Row],[TotalAtoms_all]],0)</f>
        <v>0.15921403461100828</v>
      </c>
      <c r="AR130" s="2">
        <f>IFERROR(MainTbl[[#This Row],[F_from_salts]]/MainTbl[[#This Row],[TotalAtoms_all]],0)</f>
        <v>4.0785965388991721E-2</v>
      </c>
      <c r="AS130" s="2">
        <f>IFERROR(MainTbl[[#This Row],[F_total]]/MainTbl[[#This Row],[O_total]],0)</f>
        <v>0.83061319490485397</v>
      </c>
      <c r="AT130" s="2">
        <f>IFERROR(MainTbl[[#This Row],[F_total]]/MainTbl[[#This Row],[C_total]],0)</f>
        <v>0.94212800000000008</v>
      </c>
      <c r="AU130" s="2">
        <f>IFERROR(MainTbl[[#This Row],[O_total]]/MainTbl[[#This Row],[C_total]],0)</f>
        <v>1.1342559999999999</v>
      </c>
      <c r="AV130" s="2">
        <f>IFERROR((MainTbl[[#This Row],[TotalAtoms_all]]-(MainTbl[[#This Row],[C_total]]+MainTbl[[#This Row],[H_total]]+MainTbl[[#This Row],[Li_total]]))/MainTbl[[#This Row],[C_total]],0)</f>
        <v>2.3645760000000005</v>
      </c>
      <c r="AW130" t="str">
        <f>IFERROR(VLOOKUP(MainTbl[[#This Row],[salt_1_smiles]],SaltTbl[],MATCH("Salt",SaltTbl[#Headers],0),FALSE),"")</f>
        <v>LiFSI</v>
      </c>
      <c r="AX130" t="str">
        <f>IFERROR(VLOOKUP(MainTbl[[#This Row],[salt_2_smiles]],SaltTbl[],MATCH("Salt",SaltTbl[#Headers],0),FALSE),"")</f>
        <v/>
      </c>
      <c r="AY130" t="str">
        <f>IFERROR(VLOOKUP(MainTbl[[#This Row],[solvent_1_smiles]],SolvTbl[],MATCH("Solvent",SolvTbl[#Headers],0),FALSE),"")</f>
        <v>Methyl 2,2,2-trifluoroethyl carbonate</v>
      </c>
      <c r="AZ130" t="str">
        <f>IFERROR(VLOOKUP(MainTbl[[#This Row],[solvent_2_smiles]],SolvTbl[],MATCH("Solvent",SolvTbl[#Headers],0),FALSE),"")</f>
        <v/>
      </c>
      <c r="BA130" t="str">
        <f>IFERROR(VLOOKUP(MainTbl[[#This Row],[solvent_3_smiles]],SolvTbl[],MATCH("Solvent",SolvTbl[#Headers],0),FALSE),"")</f>
        <v/>
      </c>
      <c r="BB130">
        <f>--(MainTbl[[#This Row],[solv_1_ratio]]&gt;0)+--(MainTbl[[#This Row],[solv_2_ratio]]&gt;0)+--(MainTbl[[#This Row],[solv_3_ratio]]&gt;0)</f>
        <v>1</v>
      </c>
      <c r="BC130" t="str">
        <f>IF(AND(MainTbl[[#This Row],[SaltName1]]&lt;&gt;"",MainTbl[[#This Row],[salt_1_conc]]&gt;0),TEXT(MainTbl[[#This Row],[salt_1_conc]],"0.###")&amp;" M "&amp;MainTbl[[#This Row],[SaltName1]],"")</f>
        <v>3.16 M LiFSI</v>
      </c>
      <c r="BD130" t="str">
        <f>IF(AND(MainTbl[[#This Row],[SaltName2]]&lt;&gt;"",MainTbl[[#This Row],[salt_2_conc]]&gt;0),TEXT(MainTbl[[#This Row],[salt_2_conc]],"0.###")&amp;" M "&amp;MainTbl[[#This Row],[SaltName2]],"")</f>
        <v/>
      </c>
      <c r="BE13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3.16 M LiFSI</v>
      </c>
      <c r="BF130" t="str">
        <f>IF(MainTbl[[#This Row],[SolvCount]]=1,MainTbl[[#This Row],[SolvName1]],IF(MainTbl[[#This Row],[solv_1_ratio]]&gt;0,MainTbl[[#This Row],[SolvName1]]&amp;" "&amp;TEXT(MainTbl[[#This Row],[solv_1_ratio]]*100,"0.##")&amp;"%",""))</f>
        <v>Methyl 2,2,2-trifluoroethyl carbonate</v>
      </c>
      <c r="BG130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3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Methyl 2,2,2-trifluoroethyl carbonate</v>
      </c>
      <c r="BJ130" t="str">
        <f>TRIM(_xlfn.CONCAT(MainTbl[[#This Row],[Salt_text]]," ",MainTbl[[#This Row],[Solvent_text]]))</f>
        <v>3.16 M LiFSI Methyl 2,2,2-trifluoroethyl carbonate</v>
      </c>
    </row>
    <row r="131" spans="1:62" x14ac:dyDescent="0.25">
      <c r="A131" t="s">
        <v>68</v>
      </c>
      <c r="D131" t="s">
        <v>22</v>
      </c>
      <c r="G131">
        <v>1</v>
      </c>
      <c r="H131">
        <v>0</v>
      </c>
      <c r="I131">
        <v>0</v>
      </c>
      <c r="J131">
        <v>3.4</v>
      </c>
      <c r="K131">
        <v>0</v>
      </c>
      <c r="L131">
        <v>0.97199999999999998</v>
      </c>
      <c r="M131">
        <f t="shared" ref="M131:M140" si="4">(L131*100)</f>
        <v>97.2</v>
      </c>
      <c r="N131">
        <f t="shared" ref="N131:N140" si="5">-LOG10(1-L131)</f>
        <v>1.5528419686577803</v>
      </c>
      <c r="O131">
        <f>IFERROR(MainTbl[[#This Row],[solv_1_ratio]]*VLOOKUP(MainTbl[[#This Row],[solvent_1_smiles]],SolvTbl[],13,FALSE),0)</f>
        <v>8.2236842105263168</v>
      </c>
      <c r="P131">
        <f>IFERROR(MainTbl[[#This Row],[solv_2_ratio]]*VLOOKUP(MainTbl[[#This Row],[solvent_2_smiles]],SolvTbl[],13,FALSE),0)</f>
        <v>0</v>
      </c>
      <c r="Q131">
        <f>IFERROR(MainTbl[[#This Row],[solv_3_ratio]]*VLOOKUP(MainTbl[[#This Row],[solvent_3_smiles]],SolvTbl[],13,FALSE),0)</f>
        <v>0</v>
      </c>
      <c r="R131">
        <f>IFERROR(MainTbl[[#This Row],[salt_1_conc]],0)</f>
        <v>3.4</v>
      </c>
      <c r="S131">
        <f>IFERROR(MainTbl[[#This Row],[salt_2_conc]],0)</f>
        <v>0</v>
      </c>
      <c r="T131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24.671052631578952</v>
      </c>
      <c r="U131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13.6</v>
      </c>
      <c r="V131">
        <f>MainTbl[[#This Row],[O_from_solvents]]+MainTbl[[#This Row],[O_from_salts]]</f>
        <v>38.271052631578954</v>
      </c>
      <c r="W131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32.894736842105267</v>
      </c>
      <c r="X131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1">
        <f>MainTbl[[#This Row],[C_from_solvents]]+MainTbl[[#This Row],[C_from_salts]]</f>
        <v>32.894736842105267</v>
      </c>
      <c r="Z131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24.671052631578952</v>
      </c>
      <c r="AA131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6.8</v>
      </c>
      <c r="AB131">
        <f>MainTbl[[#This Row],[F_from_solvents]]+MainTbl[[#This Row],[F_from_salts]]</f>
        <v>31.471052631578953</v>
      </c>
      <c r="AC131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41.118421052631582</v>
      </c>
      <c r="AD131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1">
        <f>MainTbl[[#This Row],[H_from_solvents]]+MainTbl[[#This Row],[H_from_salts]]</f>
        <v>41.118421052631582</v>
      </c>
      <c r="AF131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1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3.4</v>
      </c>
      <c r="AH131">
        <f>MainTbl[[#This Row],[Li_from_solvents]]+MainTbl[[#This Row],[Li_from_salts]]</f>
        <v>3.4</v>
      </c>
      <c r="AI131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157.35526315789474</v>
      </c>
      <c r="AJ131" s="2">
        <f>IFERROR(MainTbl[[#This Row],[O_total]]/MainTbl[[#This Row],[TotalAtoms_all]],0)</f>
        <v>0.24321431557822565</v>
      </c>
      <c r="AK131" s="2">
        <f>IFERROR(MainTbl[[#This Row],[O_from_solvents]]/MainTbl[[#This Row],[TotalAtoms_all]],0)</f>
        <v>0.15678568442177443</v>
      </c>
      <c r="AL131" s="2">
        <f>IFERROR(MainTbl[[#This Row],[O_from_salts]]/MainTbl[[#This Row],[TotalAtoms_all]],0)</f>
        <v>8.6428631156451205E-2</v>
      </c>
      <c r="AM131" s="2">
        <f>IFERROR(MainTbl[[#This Row],[C_total]]/MainTbl[[#This Row],[TotalAtoms_all]],0)</f>
        <v>0.20904757922903255</v>
      </c>
      <c r="AN131" s="2">
        <f>IFERROR(MainTbl[[#This Row],[C_from_solvents]]/MainTbl[[#This Row],[TotalAtoms_all]],0)</f>
        <v>0.20904757922903255</v>
      </c>
      <c r="AO131" s="2">
        <f>IFERROR(MainTbl[[#This Row],[C_from_salts]]/MainTbl[[#This Row],[TotalAtoms_all]],0)</f>
        <v>0</v>
      </c>
      <c r="AP131" s="2">
        <f>IFERROR(MainTbl[[#This Row],[F_total]]/MainTbl[[#This Row],[TotalAtoms_all]],0)</f>
        <v>0.20000000000000004</v>
      </c>
      <c r="AQ131" s="2">
        <f>IFERROR(MainTbl[[#This Row],[F_from_solvents]]/MainTbl[[#This Row],[TotalAtoms_all]],0)</f>
        <v>0.15678568442177443</v>
      </c>
      <c r="AR131" s="2">
        <f>IFERROR(MainTbl[[#This Row],[F_from_salts]]/MainTbl[[#This Row],[TotalAtoms_all]],0)</f>
        <v>4.3214315578225602E-2</v>
      </c>
      <c r="AS131" s="2">
        <f>IFERROR(MainTbl[[#This Row],[F_total]]/MainTbl[[#This Row],[O_total]],0)</f>
        <v>0.82232001650278486</v>
      </c>
      <c r="AT131" s="2">
        <f>IFERROR(MainTbl[[#This Row],[F_total]]/MainTbl[[#This Row],[C_total]],0)</f>
        <v>0.95672000000000001</v>
      </c>
      <c r="AU131" s="2">
        <f>IFERROR(MainTbl[[#This Row],[O_total]]/MainTbl[[#This Row],[C_total]],0)</f>
        <v>1.16344</v>
      </c>
      <c r="AV131" s="2">
        <f>IFERROR((MainTbl[[#This Row],[TotalAtoms_all]]-(MainTbl[[#This Row],[C_total]]+MainTbl[[#This Row],[H_total]]+MainTbl[[#This Row],[Li_total]]))/MainTbl[[#This Row],[C_total]],0)</f>
        <v>2.4302399999999995</v>
      </c>
      <c r="AW131" t="str">
        <f>IFERROR(VLOOKUP(MainTbl[[#This Row],[salt_1_smiles]],SaltTbl[],MATCH("Salt",SaltTbl[#Headers],0),FALSE),"")</f>
        <v>LiFSI</v>
      </c>
      <c r="AX131" t="str">
        <f>IFERROR(VLOOKUP(MainTbl[[#This Row],[salt_2_smiles]],SaltTbl[],MATCH("Salt",SaltTbl[#Headers],0),FALSE),"")</f>
        <v/>
      </c>
      <c r="AY131" t="str">
        <f>IFERROR(VLOOKUP(MainTbl[[#This Row],[solvent_1_smiles]],SolvTbl[],MATCH("Solvent",SolvTbl[#Headers],0),FALSE),"")</f>
        <v>Methyl 2,2,2-trifluoroethyl carbonate</v>
      </c>
      <c r="AZ131" t="str">
        <f>IFERROR(VLOOKUP(MainTbl[[#This Row],[solvent_2_smiles]],SolvTbl[],MATCH("Solvent",SolvTbl[#Headers],0),FALSE),"")</f>
        <v/>
      </c>
      <c r="BA131" t="str">
        <f>IFERROR(VLOOKUP(MainTbl[[#This Row],[solvent_3_smiles]],SolvTbl[],MATCH("Solvent",SolvTbl[#Headers],0),FALSE),"")</f>
        <v/>
      </c>
      <c r="BB131">
        <f>--(MainTbl[[#This Row],[solv_1_ratio]]&gt;0)+--(MainTbl[[#This Row],[solv_2_ratio]]&gt;0)+--(MainTbl[[#This Row],[solv_3_ratio]]&gt;0)</f>
        <v>1</v>
      </c>
      <c r="BC131" t="str">
        <f>IF(AND(MainTbl[[#This Row],[SaltName1]]&lt;&gt;"",MainTbl[[#This Row],[salt_1_conc]]&gt;0),TEXT(MainTbl[[#This Row],[salt_1_conc]],"0.###")&amp;" M "&amp;MainTbl[[#This Row],[SaltName1]],"")</f>
        <v>3.4 M LiFSI</v>
      </c>
      <c r="BD131" t="str">
        <f>IF(AND(MainTbl[[#This Row],[SaltName2]]&lt;&gt;"",MainTbl[[#This Row],[salt_2_conc]]&gt;0),TEXT(MainTbl[[#This Row],[salt_2_conc]],"0.###")&amp;" M "&amp;MainTbl[[#This Row],[SaltName2]],"")</f>
        <v/>
      </c>
      <c r="BE131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3.4 M LiFSI</v>
      </c>
      <c r="BF131" t="str">
        <f>IF(MainTbl[[#This Row],[SolvCount]]=1,MainTbl[[#This Row],[SolvName1]],IF(MainTbl[[#This Row],[solv_1_ratio]]&gt;0,MainTbl[[#This Row],[SolvName1]]&amp;" "&amp;TEXT(MainTbl[[#This Row],[solv_1_ratio]]*100,"0.##")&amp;"%",""))</f>
        <v>Methyl 2,2,2-trifluoroethyl carbonate</v>
      </c>
      <c r="BG131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31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1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Methyl 2,2,2-trifluoroethyl carbonate</v>
      </c>
      <c r="BJ131" t="str">
        <f>TRIM(_xlfn.CONCAT(MainTbl[[#This Row],[Salt_text]]," ",MainTbl[[#This Row],[Solvent_text]]))</f>
        <v>3.4 M LiFSI Methyl 2,2,2-trifluoroethyl carbonate</v>
      </c>
    </row>
    <row r="132" spans="1:62" x14ac:dyDescent="0.25">
      <c r="A132" t="s">
        <v>69</v>
      </c>
      <c r="D132" t="s">
        <v>22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0.94899999999999995</v>
      </c>
      <c r="M132">
        <f t="shared" si="4"/>
        <v>94.899999999999991</v>
      </c>
      <c r="N132">
        <f t="shared" si="5"/>
        <v>1.2924298239020633</v>
      </c>
      <c r="O132">
        <f>IFERROR(MainTbl[[#This Row],[solv_1_ratio]]*VLOOKUP(MainTbl[[#This Row],[solvent_1_smiles]],SolvTbl[],13,FALSE),0)</f>
        <v>11.758830473077273</v>
      </c>
      <c r="P132">
        <f>IFERROR(MainTbl[[#This Row],[solv_2_ratio]]*VLOOKUP(MainTbl[[#This Row],[solvent_2_smiles]],SolvTbl[],13,FALSE),0)</f>
        <v>0</v>
      </c>
      <c r="Q132">
        <f>IFERROR(MainTbl[[#This Row],[solv_3_ratio]]*VLOOKUP(MainTbl[[#This Row],[solvent_3_smiles]],SolvTbl[],13,FALSE),0)</f>
        <v>0</v>
      </c>
      <c r="R132">
        <f>IFERROR(MainTbl[[#This Row],[salt_1_conc]],0)</f>
        <v>1</v>
      </c>
      <c r="S132">
        <f>IFERROR(MainTbl[[#This Row],[salt_2_conc]],0)</f>
        <v>0</v>
      </c>
      <c r="T132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23.517660946154546</v>
      </c>
      <c r="U132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32">
        <f>MainTbl[[#This Row],[O_from_solvents]]+MainTbl[[#This Row],[O_from_salts]]</f>
        <v>27.517660946154546</v>
      </c>
      <c r="W132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47.035321892309092</v>
      </c>
      <c r="X132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2">
        <f>MainTbl[[#This Row],[C_from_solvents]]+MainTbl[[#This Row],[C_from_salts]]</f>
        <v>47.035321892309092</v>
      </c>
      <c r="Z132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32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132">
        <f>MainTbl[[#This Row],[F_from_solvents]]+MainTbl[[#This Row],[F_from_salts]]</f>
        <v>2</v>
      </c>
      <c r="AC132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94.070643784618184</v>
      </c>
      <c r="AD132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2">
        <f>MainTbl[[#This Row],[H_from_solvents]]+MainTbl[[#This Row],[H_from_salts]]</f>
        <v>94.070643784618184</v>
      </c>
      <c r="AF132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2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32">
        <f>MainTbl[[#This Row],[Li_from_solvents]]+MainTbl[[#This Row],[Li_from_salts]]</f>
        <v>1</v>
      </c>
      <c r="AI132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174.62362662308183</v>
      </c>
      <c r="AJ132" s="2">
        <f>IFERROR(MainTbl[[#This Row],[O_total]]/MainTbl[[#This Row],[TotalAtoms_all]],0)</f>
        <v>0.15758269071773617</v>
      </c>
      <c r="AK132" s="2">
        <f>IFERROR(MainTbl[[#This Row],[O_from_solvents]]/MainTbl[[#This Row],[TotalAtoms_all]],0)</f>
        <v>0.134676282934591</v>
      </c>
      <c r="AL132" s="2">
        <f>IFERROR(MainTbl[[#This Row],[O_from_salts]]/MainTbl[[#This Row],[TotalAtoms_all]],0)</f>
        <v>2.2906407783145181E-2</v>
      </c>
      <c r="AM132" s="2">
        <f>IFERROR(MainTbl[[#This Row],[C_total]]/MainTbl[[#This Row],[TotalAtoms_all]],0)</f>
        <v>0.26935256586918199</v>
      </c>
      <c r="AN132" s="2">
        <f>IFERROR(MainTbl[[#This Row],[C_from_solvents]]/MainTbl[[#This Row],[TotalAtoms_all]],0)</f>
        <v>0.26935256586918199</v>
      </c>
      <c r="AO132" s="2">
        <f>IFERROR(MainTbl[[#This Row],[C_from_salts]]/MainTbl[[#This Row],[TotalAtoms_all]],0)</f>
        <v>0</v>
      </c>
      <c r="AP132" s="2">
        <f>IFERROR(MainTbl[[#This Row],[F_total]]/MainTbl[[#This Row],[TotalAtoms_all]],0)</f>
        <v>1.145320389157259E-2</v>
      </c>
      <c r="AQ132" s="2">
        <f>IFERROR(MainTbl[[#This Row],[F_from_solvents]]/MainTbl[[#This Row],[TotalAtoms_all]],0)</f>
        <v>0</v>
      </c>
      <c r="AR132" s="2">
        <f>IFERROR(MainTbl[[#This Row],[F_from_salts]]/MainTbl[[#This Row],[TotalAtoms_all]],0)</f>
        <v>1.145320389157259E-2</v>
      </c>
      <c r="AS132" s="2">
        <f>IFERROR(MainTbl[[#This Row],[F_total]]/MainTbl[[#This Row],[O_total]],0)</f>
        <v>7.2680596069321438E-2</v>
      </c>
      <c r="AT132" s="2">
        <f>IFERROR(MainTbl[[#This Row],[F_total]]/MainTbl[[#This Row],[C_total]],0)</f>
        <v>4.2521235521235518E-2</v>
      </c>
      <c r="AU132" s="2">
        <f>IFERROR(MainTbl[[#This Row],[O_total]]/MainTbl[[#This Row],[C_total]],0)</f>
        <v>0.58504247104247109</v>
      </c>
      <c r="AV132" s="2">
        <f>IFERROR((MainTbl[[#This Row],[TotalAtoms_all]]-(MainTbl[[#This Row],[C_total]]+MainTbl[[#This Row],[H_total]]+MainTbl[[#This Row],[Li_total]]))/MainTbl[[#This Row],[C_total]],0)</f>
        <v>0.69134555984556023</v>
      </c>
      <c r="AW132" t="str">
        <f>IFERROR(VLOOKUP(MainTbl[[#This Row],[salt_1_smiles]],SaltTbl[],MATCH("Salt",SaltTbl[#Headers],0),FALSE),"")</f>
        <v>LiFSI</v>
      </c>
      <c r="AX132" t="str">
        <f>IFERROR(VLOOKUP(MainTbl[[#This Row],[salt_2_smiles]],SaltTbl[],MATCH("Salt",SaltTbl[#Headers],0),FALSE),"")</f>
        <v/>
      </c>
      <c r="AY132" t="str">
        <f>IFERROR(VLOOKUP(MainTbl[[#This Row],[solvent_1_smiles]],SolvTbl[],MATCH("Solvent",SolvTbl[#Headers],0),FALSE),"")</f>
        <v>1,4-dioxane(C4H8O2)</v>
      </c>
      <c r="AZ132" t="str">
        <f>IFERROR(VLOOKUP(MainTbl[[#This Row],[solvent_2_smiles]],SolvTbl[],MATCH("Solvent",SolvTbl[#Headers],0),FALSE),"")</f>
        <v/>
      </c>
      <c r="BA132" t="str">
        <f>IFERROR(VLOOKUP(MainTbl[[#This Row],[solvent_3_smiles]],SolvTbl[],MATCH("Solvent",SolvTbl[#Headers],0),FALSE),"")</f>
        <v/>
      </c>
      <c r="BB132">
        <f>--(MainTbl[[#This Row],[solv_1_ratio]]&gt;0)+--(MainTbl[[#This Row],[solv_2_ratio]]&gt;0)+--(MainTbl[[#This Row],[solv_3_ratio]]&gt;0)</f>
        <v>1</v>
      </c>
      <c r="BC132" t="str">
        <f>IF(AND(MainTbl[[#This Row],[SaltName1]]&lt;&gt;"",MainTbl[[#This Row],[salt_1_conc]]&gt;0),TEXT(MainTbl[[#This Row],[salt_1_conc]],"0.###")&amp;" M "&amp;MainTbl[[#This Row],[SaltName1]],"")</f>
        <v>1. M LiFSI</v>
      </c>
      <c r="BD132" t="str">
        <f>IF(AND(MainTbl[[#This Row],[SaltName2]]&lt;&gt;"",MainTbl[[#This Row],[salt_2_conc]]&gt;0),TEXT(MainTbl[[#This Row],[salt_2_conc]],"0.###")&amp;" M "&amp;MainTbl[[#This Row],[SaltName2]],"")</f>
        <v/>
      </c>
      <c r="BE132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132" t="str">
        <f>IF(MainTbl[[#This Row],[SolvCount]]=1,MainTbl[[#This Row],[SolvName1]],IF(MainTbl[[#This Row],[solv_1_ratio]]&gt;0,MainTbl[[#This Row],[SolvName1]]&amp;" "&amp;TEXT(MainTbl[[#This Row],[solv_1_ratio]]*100,"0.##")&amp;"%",""))</f>
        <v>1,4-dioxane(C4H8O2)</v>
      </c>
      <c r="BG132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32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2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1,4-dioxane(C4H8O2)</v>
      </c>
      <c r="BJ132" t="str">
        <f>TRIM(_xlfn.CONCAT(MainTbl[[#This Row],[Salt_text]]," ",MainTbl[[#This Row],[Solvent_text]]))</f>
        <v>1. M LiFSI 1,4-dioxane(C4H8O2)</v>
      </c>
    </row>
    <row r="133" spans="1:62" x14ac:dyDescent="0.25">
      <c r="A133" t="s">
        <v>70</v>
      </c>
      <c r="D133" t="s">
        <v>22</v>
      </c>
      <c r="G133">
        <v>1</v>
      </c>
      <c r="H133">
        <v>0</v>
      </c>
      <c r="I133">
        <v>0</v>
      </c>
      <c r="J133">
        <v>0.8</v>
      </c>
      <c r="K133">
        <v>0</v>
      </c>
      <c r="L133">
        <v>0.99073999999999995</v>
      </c>
      <c r="M133">
        <f t="shared" si="4"/>
        <v>99.073999999999998</v>
      </c>
      <c r="N133">
        <f t="shared" si="5"/>
        <v>2.0333890133180637</v>
      </c>
      <c r="O133">
        <f>IFERROR(MainTbl[[#This Row],[solv_1_ratio]]*VLOOKUP(MainTbl[[#This Row],[solvent_1_smiles]],SolvTbl[],13,FALSE),0)</f>
        <v>4.8835127793102364</v>
      </c>
      <c r="P133">
        <f>IFERROR(MainTbl[[#This Row],[solv_2_ratio]]*VLOOKUP(MainTbl[[#This Row],[solvent_2_smiles]],SolvTbl[],13,FALSE),0)</f>
        <v>0</v>
      </c>
      <c r="Q133">
        <f>IFERROR(MainTbl[[#This Row],[solv_3_ratio]]*VLOOKUP(MainTbl[[#This Row],[solvent_3_smiles]],SolvTbl[],13,FALSE),0)</f>
        <v>0</v>
      </c>
      <c r="R133">
        <f>IFERROR(MainTbl[[#This Row],[salt_1_conc]],0)</f>
        <v>0.8</v>
      </c>
      <c r="S133">
        <f>IFERROR(MainTbl[[#This Row],[salt_2_conc]],0)</f>
        <v>0</v>
      </c>
      <c r="T133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19.534051117240946</v>
      </c>
      <c r="U133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3.2</v>
      </c>
      <c r="V133">
        <f>MainTbl[[#This Row],[O_from_solvents]]+MainTbl[[#This Row],[O_from_salts]]</f>
        <v>22.734051117240945</v>
      </c>
      <c r="W133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39.068102234481891</v>
      </c>
      <c r="X133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3">
        <f>MainTbl[[#This Row],[C_from_solvents]]+MainTbl[[#This Row],[C_from_salts]]</f>
        <v>39.068102234481891</v>
      </c>
      <c r="Z133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33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1.6</v>
      </c>
      <c r="AB133">
        <f>MainTbl[[#This Row],[F_from_solvents]]+MainTbl[[#This Row],[F_from_salts]]</f>
        <v>1.6</v>
      </c>
      <c r="AC133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97.670255586204732</v>
      </c>
      <c r="AD133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3">
        <f>MainTbl[[#This Row],[H_from_solvents]]+MainTbl[[#This Row],[H_from_salts]]</f>
        <v>97.670255586204732</v>
      </c>
      <c r="AF133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3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0.8</v>
      </c>
      <c r="AH133">
        <f>MainTbl[[#This Row],[Li_from_solvents]]+MainTbl[[#This Row],[Li_from_salts]]</f>
        <v>0.8</v>
      </c>
      <c r="AI133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169.15592171723779</v>
      </c>
      <c r="AJ133" s="2">
        <f>IFERROR(MainTbl[[#This Row],[O_total]]/MainTbl[[#This Row],[TotalAtoms_all]],0)</f>
        <v>0.13439701599831275</v>
      </c>
      <c r="AK133" s="2">
        <f>IFERROR(MainTbl[[#This Row],[O_from_solvents]]/MainTbl[[#This Row],[TotalAtoms_all]],0)</f>
        <v>0.11547955826160317</v>
      </c>
      <c r="AL133" s="2">
        <f>IFERROR(MainTbl[[#This Row],[O_from_salts]]/MainTbl[[#This Row],[TotalAtoms_all]],0)</f>
        <v>1.8917457736709581E-2</v>
      </c>
      <c r="AM133" s="2">
        <f>IFERROR(MainTbl[[#This Row],[C_total]]/MainTbl[[#This Row],[TotalAtoms_all]],0)</f>
        <v>0.23095911652320633</v>
      </c>
      <c r="AN133" s="2">
        <f>IFERROR(MainTbl[[#This Row],[C_from_solvents]]/MainTbl[[#This Row],[TotalAtoms_all]],0)</f>
        <v>0.23095911652320633</v>
      </c>
      <c r="AO133" s="2">
        <f>IFERROR(MainTbl[[#This Row],[C_from_salts]]/MainTbl[[#This Row],[TotalAtoms_all]],0)</f>
        <v>0</v>
      </c>
      <c r="AP133" s="2">
        <f>IFERROR(MainTbl[[#This Row],[F_total]]/MainTbl[[#This Row],[TotalAtoms_all]],0)</f>
        <v>9.4587288683547904E-3</v>
      </c>
      <c r="AQ133" s="2">
        <f>IFERROR(MainTbl[[#This Row],[F_from_solvents]]/MainTbl[[#This Row],[TotalAtoms_all]],0)</f>
        <v>0</v>
      </c>
      <c r="AR133" s="2">
        <f>IFERROR(MainTbl[[#This Row],[F_from_salts]]/MainTbl[[#This Row],[TotalAtoms_all]],0)</f>
        <v>9.4587288683547904E-3</v>
      </c>
      <c r="AS133" s="2">
        <f>IFERROR(MainTbl[[#This Row],[F_total]]/MainTbl[[#This Row],[O_total]],0)</f>
        <v>7.0379009519627556E-2</v>
      </c>
      <c r="AT133" s="2">
        <f>IFERROR(MainTbl[[#This Row],[F_total]]/MainTbl[[#This Row],[C_total]],0)</f>
        <v>4.0954126473740624E-2</v>
      </c>
      <c r="AU133" s="2">
        <f>IFERROR(MainTbl[[#This Row],[O_total]]/MainTbl[[#This Row],[C_total]],0)</f>
        <v>0.58190825294748127</v>
      </c>
      <c r="AV133" s="2">
        <f>IFERROR((MainTbl[[#This Row],[TotalAtoms_all]]-(MainTbl[[#This Row],[C_total]]+MainTbl[[#This Row],[H_total]]+MainTbl[[#This Row],[Li_total]]))/MainTbl[[#This Row],[C_total]],0)</f>
        <v>0.80929356913183226</v>
      </c>
      <c r="AW133" t="str">
        <f>IFERROR(VLOOKUP(MainTbl[[#This Row],[salt_1_smiles]],SaltTbl[],MATCH("Salt",SaltTbl[#Headers],0),FALSE),"")</f>
        <v>LiFSI</v>
      </c>
      <c r="AX133" t="str">
        <f>IFERROR(VLOOKUP(MainTbl[[#This Row],[salt_2_smiles]],SaltTbl[],MATCH("Salt",SaltTbl[#Headers],0),FALSE),"")</f>
        <v/>
      </c>
      <c r="AY133" t="str">
        <f>IFERROR(VLOOKUP(MainTbl[[#This Row],[solvent_1_smiles]],SolvTbl[],MATCH("Solvent",SolvTbl[#Headers],0),FALSE),"")</f>
        <v>Tetraethoxysilane</v>
      </c>
      <c r="AZ133" t="str">
        <f>IFERROR(VLOOKUP(MainTbl[[#This Row],[solvent_2_smiles]],SolvTbl[],MATCH("Solvent",SolvTbl[#Headers],0),FALSE),"")</f>
        <v/>
      </c>
      <c r="BA133" t="str">
        <f>IFERROR(VLOOKUP(MainTbl[[#This Row],[solvent_3_smiles]],SolvTbl[],MATCH("Solvent",SolvTbl[#Headers],0),FALSE),"")</f>
        <v/>
      </c>
      <c r="BB133">
        <f>--(MainTbl[[#This Row],[solv_1_ratio]]&gt;0)+--(MainTbl[[#This Row],[solv_2_ratio]]&gt;0)+--(MainTbl[[#This Row],[solv_3_ratio]]&gt;0)</f>
        <v>1</v>
      </c>
      <c r="BC133" t="str">
        <f>IF(AND(MainTbl[[#This Row],[SaltName1]]&lt;&gt;"",MainTbl[[#This Row],[salt_1_conc]]&gt;0),TEXT(MainTbl[[#This Row],[salt_1_conc]],"0.###")&amp;" M "&amp;MainTbl[[#This Row],[SaltName1]],"")</f>
        <v>0.8 M LiFSI</v>
      </c>
      <c r="BD133" t="str">
        <f>IF(AND(MainTbl[[#This Row],[SaltName2]]&lt;&gt;"",MainTbl[[#This Row],[salt_2_conc]]&gt;0),TEXT(MainTbl[[#This Row],[salt_2_conc]],"0.###")&amp;" M "&amp;MainTbl[[#This Row],[SaltName2]],"")</f>
        <v/>
      </c>
      <c r="BE133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0.8 M LiFSI</v>
      </c>
      <c r="BF133" t="str">
        <f>IF(MainTbl[[#This Row],[SolvCount]]=1,MainTbl[[#This Row],[SolvName1]],IF(MainTbl[[#This Row],[solv_1_ratio]]&gt;0,MainTbl[[#This Row],[SolvName1]]&amp;" "&amp;TEXT(MainTbl[[#This Row],[solv_1_ratio]]*100,"0.##")&amp;"%",""))</f>
        <v>Tetraethoxysilane</v>
      </c>
      <c r="BG133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33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3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Tetraethoxysilane</v>
      </c>
      <c r="BJ133" t="str">
        <f>TRIM(_xlfn.CONCAT(MainTbl[[#This Row],[Salt_text]]," ",MainTbl[[#This Row],[Solvent_text]]))</f>
        <v>0.8 M LiFSI Tetraethoxysilane</v>
      </c>
    </row>
    <row r="134" spans="1:62" x14ac:dyDescent="0.25">
      <c r="A134" t="s">
        <v>71</v>
      </c>
      <c r="D134" t="s">
        <v>22</v>
      </c>
      <c r="G134">
        <v>1</v>
      </c>
      <c r="H134">
        <v>0</v>
      </c>
      <c r="I134">
        <v>0</v>
      </c>
      <c r="J134">
        <v>0.8</v>
      </c>
      <c r="K134">
        <v>0</v>
      </c>
      <c r="L134">
        <v>0.99255000000000004</v>
      </c>
      <c r="M134">
        <f t="shared" si="4"/>
        <v>99.25500000000001</v>
      </c>
      <c r="N134">
        <f t="shared" si="5"/>
        <v>2.1278437272517099</v>
      </c>
      <c r="O134">
        <f>IFERROR(MainTbl[[#This Row],[solv_1_ratio]]*VLOOKUP(MainTbl[[#This Row],[solvent_1_smiles]],SolvTbl[],13,FALSE),0)</f>
        <v>5.0840276797062565</v>
      </c>
      <c r="P134">
        <f>IFERROR(MainTbl[[#This Row],[solv_2_ratio]]*VLOOKUP(MainTbl[[#This Row],[solvent_2_smiles]],SolvTbl[],13,FALSE),0)</f>
        <v>0</v>
      </c>
      <c r="Q134">
        <f>IFERROR(MainTbl[[#This Row],[solv_3_ratio]]*VLOOKUP(MainTbl[[#This Row],[solvent_3_smiles]],SolvTbl[],13,FALSE),0)</f>
        <v>0</v>
      </c>
      <c r="R134">
        <f>IFERROR(MainTbl[[#This Row],[salt_1_conc]],0)</f>
        <v>0.8</v>
      </c>
      <c r="S134">
        <f>IFERROR(MainTbl[[#This Row],[salt_2_conc]],0)</f>
        <v>0</v>
      </c>
      <c r="T134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20.336110718825026</v>
      </c>
      <c r="U134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3.2</v>
      </c>
      <c r="V134">
        <f>MainTbl[[#This Row],[O_from_solvents]]+MainTbl[[#This Row],[O_from_salts]]</f>
        <v>23.536110718825025</v>
      </c>
      <c r="W134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35.588193757943799</v>
      </c>
      <c r="X134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4">
        <f>MainTbl[[#This Row],[C_from_solvents]]+MainTbl[[#This Row],[C_from_salts]]</f>
        <v>35.588193757943799</v>
      </c>
      <c r="Z134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34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1.6</v>
      </c>
      <c r="AB134">
        <f>MainTbl[[#This Row],[F_from_solvents]]+MainTbl[[#This Row],[F_from_salts]]</f>
        <v>1.6</v>
      </c>
      <c r="AC134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91.512498234712609</v>
      </c>
      <c r="AD134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4">
        <f>MainTbl[[#This Row],[H_from_solvents]]+MainTbl[[#This Row],[H_from_salts]]</f>
        <v>91.512498234712609</v>
      </c>
      <c r="AF134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4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0.8</v>
      </c>
      <c r="AH134">
        <f>MainTbl[[#This Row],[Li_from_solvents]]+MainTbl[[#This Row],[Li_from_salts]]</f>
        <v>0.8</v>
      </c>
      <c r="AI134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160.5208303911877</v>
      </c>
      <c r="AJ134" s="2">
        <f>IFERROR(MainTbl[[#This Row],[O_total]]/MainTbl[[#This Row],[TotalAtoms_all]],0)</f>
        <v>0.146623404959143</v>
      </c>
      <c r="AK134" s="2">
        <f>IFERROR(MainTbl[[#This Row],[O_from_solvents]]/MainTbl[[#This Row],[TotalAtoms_all]],0)</f>
        <v>0.12668829752042848</v>
      </c>
      <c r="AL134" s="2">
        <f>IFERROR(MainTbl[[#This Row],[O_from_salts]]/MainTbl[[#This Row],[TotalAtoms_all]],0)</f>
        <v>1.9935107438714534E-2</v>
      </c>
      <c r="AM134" s="2">
        <f>IFERROR(MainTbl[[#This Row],[C_total]]/MainTbl[[#This Row],[TotalAtoms_all]],0)</f>
        <v>0.22170452066074986</v>
      </c>
      <c r="AN134" s="2">
        <f>IFERROR(MainTbl[[#This Row],[C_from_solvents]]/MainTbl[[#This Row],[TotalAtoms_all]],0)</f>
        <v>0.22170452066074986</v>
      </c>
      <c r="AO134" s="2">
        <f>IFERROR(MainTbl[[#This Row],[C_from_salts]]/MainTbl[[#This Row],[TotalAtoms_all]],0)</f>
        <v>0</v>
      </c>
      <c r="AP134" s="2">
        <f>IFERROR(MainTbl[[#This Row],[F_total]]/MainTbl[[#This Row],[TotalAtoms_all]],0)</f>
        <v>9.967553719357267E-3</v>
      </c>
      <c r="AQ134" s="2">
        <f>IFERROR(MainTbl[[#This Row],[F_from_solvents]]/MainTbl[[#This Row],[TotalAtoms_all]],0)</f>
        <v>0</v>
      </c>
      <c r="AR134" s="2">
        <f>IFERROR(MainTbl[[#This Row],[F_from_salts]]/MainTbl[[#This Row],[TotalAtoms_all]],0)</f>
        <v>9.967553719357267E-3</v>
      </c>
      <c r="AS134" s="2">
        <f>IFERROR(MainTbl[[#This Row],[F_total]]/MainTbl[[#This Row],[O_total]],0)</f>
        <v>6.7980645532919881E-2</v>
      </c>
      <c r="AT134" s="2">
        <f>IFERROR(MainTbl[[#This Row],[F_total]]/MainTbl[[#This Row],[C_total]],0)</f>
        <v>4.4958730158730156E-2</v>
      </c>
      <c r="AU134" s="2">
        <f>IFERROR(MainTbl[[#This Row],[O_total]]/MainTbl[[#This Row],[C_total]],0)</f>
        <v>0.66134603174603168</v>
      </c>
      <c r="AV134" s="2">
        <f>IFERROR((MainTbl[[#This Row],[TotalAtoms_all]]-(MainTbl[[#This Row],[C_total]]+MainTbl[[#This Row],[H_total]]+MainTbl[[#This Row],[Li_total]]))/MainTbl[[#This Row],[C_total]],0)</f>
        <v>0.9166000000000003</v>
      </c>
      <c r="AW134" t="str">
        <f>IFERROR(VLOOKUP(MainTbl[[#This Row],[salt_1_smiles]],SaltTbl[],MATCH("Salt",SaltTbl[#Headers],0),FALSE),"")</f>
        <v>LiFSI</v>
      </c>
      <c r="AX134" t="str">
        <f>IFERROR(VLOOKUP(MainTbl[[#This Row],[salt_2_smiles]],SaltTbl[],MATCH("Salt",SaltTbl[#Headers],0),FALSE),"")</f>
        <v/>
      </c>
      <c r="AY134" t="str">
        <f>IFERROR(VLOOKUP(MainTbl[[#This Row],[solvent_1_smiles]],SolvTbl[],MATCH("Solvent",SolvTbl[#Headers],0),FALSE),"")</f>
        <v>Triethyl methyl orthosilicate</v>
      </c>
      <c r="AZ134" t="str">
        <f>IFERROR(VLOOKUP(MainTbl[[#This Row],[solvent_2_smiles]],SolvTbl[],MATCH("Solvent",SolvTbl[#Headers],0),FALSE),"")</f>
        <v/>
      </c>
      <c r="BA134" t="str">
        <f>IFERROR(VLOOKUP(MainTbl[[#This Row],[solvent_3_smiles]],SolvTbl[],MATCH("Solvent",SolvTbl[#Headers],0),FALSE),"")</f>
        <v/>
      </c>
      <c r="BB134">
        <f>--(MainTbl[[#This Row],[solv_1_ratio]]&gt;0)+--(MainTbl[[#This Row],[solv_2_ratio]]&gt;0)+--(MainTbl[[#This Row],[solv_3_ratio]]&gt;0)</f>
        <v>1</v>
      </c>
      <c r="BC134" t="str">
        <f>IF(AND(MainTbl[[#This Row],[SaltName1]]&lt;&gt;"",MainTbl[[#This Row],[salt_1_conc]]&gt;0),TEXT(MainTbl[[#This Row],[salt_1_conc]],"0.###")&amp;" M "&amp;MainTbl[[#This Row],[SaltName1]],"")</f>
        <v>0.8 M LiFSI</v>
      </c>
      <c r="BD134" t="str">
        <f>IF(AND(MainTbl[[#This Row],[SaltName2]]&lt;&gt;"",MainTbl[[#This Row],[salt_2_conc]]&gt;0),TEXT(MainTbl[[#This Row],[salt_2_conc]],"0.###")&amp;" M "&amp;MainTbl[[#This Row],[SaltName2]],"")</f>
        <v/>
      </c>
      <c r="BE134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0.8 M LiFSI</v>
      </c>
      <c r="BF134" t="str">
        <f>IF(MainTbl[[#This Row],[SolvCount]]=1,MainTbl[[#This Row],[SolvName1]],IF(MainTbl[[#This Row],[solv_1_ratio]]&gt;0,MainTbl[[#This Row],[SolvName1]]&amp;" "&amp;TEXT(MainTbl[[#This Row],[solv_1_ratio]]*100,"0.##")&amp;"%",""))</f>
        <v>Triethyl methyl orthosilicate</v>
      </c>
      <c r="BG134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34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4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Triethyl methyl orthosilicate</v>
      </c>
      <c r="BJ134" t="str">
        <f>TRIM(_xlfn.CONCAT(MainTbl[[#This Row],[Salt_text]]," ",MainTbl[[#This Row],[Solvent_text]]))</f>
        <v>0.8 M LiFSI Triethyl methyl orthosilicate</v>
      </c>
    </row>
    <row r="135" spans="1:62" x14ac:dyDescent="0.25">
      <c r="A135" t="s">
        <v>72</v>
      </c>
      <c r="D135" t="s">
        <v>22</v>
      </c>
      <c r="G135">
        <v>1</v>
      </c>
      <c r="H135">
        <v>0</v>
      </c>
      <c r="I135">
        <v>0</v>
      </c>
      <c r="J135">
        <v>1.5</v>
      </c>
      <c r="K135">
        <v>0</v>
      </c>
      <c r="L135">
        <v>0.99373</v>
      </c>
      <c r="M135">
        <f t="shared" si="4"/>
        <v>99.373000000000005</v>
      </c>
      <c r="N135">
        <f t="shared" si="5"/>
        <v>2.2027324591692836</v>
      </c>
      <c r="O135">
        <f>IFERROR(MainTbl[[#This Row],[solv_1_ratio]]*VLOOKUP(MainTbl[[#This Row],[solvent_1_smiles]],SolvTbl[],13,FALSE),0)</f>
        <v>6.6031038404873321</v>
      </c>
      <c r="P135">
        <f>IFERROR(MainTbl[[#This Row],[solv_2_ratio]]*VLOOKUP(MainTbl[[#This Row],[solvent_2_smiles]],SolvTbl[],13,FALSE),0)</f>
        <v>0</v>
      </c>
      <c r="Q135">
        <f>IFERROR(MainTbl[[#This Row],[solv_3_ratio]]*VLOOKUP(MainTbl[[#This Row],[solvent_3_smiles]],SolvTbl[],13,FALSE),0)</f>
        <v>0</v>
      </c>
      <c r="R135">
        <f>IFERROR(MainTbl[[#This Row],[salt_1_conc]],0)</f>
        <v>1.5</v>
      </c>
      <c r="S135">
        <f>IFERROR(MainTbl[[#This Row],[salt_2_conc]],0)</f>
        <v>0</v>
      </c>
      <c r="T135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13.206207680974664</v>
      </c>
      <c r="U135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6</v>
      </c>
      <c r="V135">
        <f>MainTbl[[#This Row],[O_from_solvents]]+MainTbl[[#This Row],[O_from_salts]]</f>
        <v>19.206207680974664</v>
      </c>
      <c r="W135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39.618623042923993</v>
      </c>
      <c r="X135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5">
        <f>MainTbl[[#This Row],[C_from_solvents]]+MainTbl[[#This Row],[C_from_salts]]</f>
        <v>39.618623042923993</v>
      </c>
      <c r="Z135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35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3</v>
      </c>
      <c r="AB135">
        <f>MainTbl[[#This Row],[F_from_solvents]]+MainTbl[[#This Row],[F_from_salts]]</f>
        <v>3</v>
      </c>
      <c r="AC135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105.64966144779731</v>
      </c>
      <c r="AD135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5">
        <f>MainTbl[[#This Row],[H_from_solvents]]+MainTbl[[#This Row],[H_from_salts]]</f>
        <v>105.64966144779731</v>
      </c>
      <c r="AF135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5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1.5</v>
      </c>
      <c r="AH135">
        <f>MainTbl[[#This Row],[Li_from_solvents]]+MainTbl[[#This Row],[Li_from_salts]]</f>
        <v>1.5</v>
      </c>
      <c r="AI135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180.07759601218331</v>
      </c>
      <c r="AJ135" s="2">
        <f>IFERROR(MainTbl[[#This Row],[O_total]]/MainTbl[[#This Row],[TotalAtoms_all]],0)</f>
        <v>0.10665517591469431</v>
      </c>
      <c r="AK135" s="2">
        <f>IFERROR(MainTbl[[#This Row],[O_from_solvents]]/MainTbl[[#This Row],[TotalAtoms_all]],0)</f>
        <v>7.3336206021326428E-2</v>
      </c>
      <c r="AL135" s="2">
        <f>IFERROR(MainTbl[[#This Row],[O_from_salts]]/MainTbl[[#This Row],[TotalAtoms_all]],0)</f>
        <v>3.3318969893367884E-2</v>
      </c>
      <c r="AM135" s="2">
        <f>IFERROR(MainTbl[[#This Row],[C_total]]/MainTbl[[#This Row],[TotalAtoms_all]],0)</f>
        <v>0.22000861806397926</v>
      </c>
      <c r="AN135" s="2">
        <f>IFERROR(MainTbl[[#This Row],[C_from_solvents]]/MainTbl[[#This Row],[TotalAtoms_all]],0)</f>
        <v>0.22000861806397926</v>
      </c>
      <c r="AO135" s="2">
        <f>IFERROR(MainTbl[[#This Row],[C_from_salts]]/MainTbl[[#This Row],[TotalAtoms_all]],0)</f>
        <v>0</v>
      </c>
      <c r="AP135" s="2">
        <f>IFERROR(MainTbl[[#This Row],[F_total]]/MainTbl[[#This Row],[TotalAtoms_all]],0)</f>
        <v>1.6659484946683942E-2</v>
      </c>
      <c r="AQ135" s="2">
        <f>IFERROR(MainTbl[[#This Row],[F_from_solvents]]/MainTbl[[#This Row],[TotalAtoms_all]],0)</f>
        <v>0</v>
      </c>
      <c r="AR135" s="2">
        <f>IFERROR(MainTbl[[#This Row],[F_from_salts]]/MainTbl[[#This Row],[TotalAtoms_all]],0)</f>
        <v>1.6659484946683942E-2</v>
      </c>
      <c r="AS135" s="2">
        <f>IFERROR(MainTbl[[#This Row],[F_total]]/MainTbl[[#This Row],[O_total]],0)</f>
        <v>0.15619949809101294</v>
      </c>
      <c r="AT135" s="2">
        <f>IFERROR(MainTbl[[#This Row],[F_total]]/MainTbl[[#This Row],[C_total]],0)</f>
        <v>7.5721965317919068E-2</v>
      </c>
      <c r="AU135" s="2">
        <f>IFERROR(MainTbl[[#This Row],[O_total]]/MainTbl[[#This Row],[C_total]],0)</f>
        <v>0.48477726396917148</v>
      </c>
      <c r="AV135" s="2">
        <f>IFERROR((MainTbl[[#This Row],[TotalAtoms_all]]-(MainTbl[[#This Row],[C_total]]+MainTbl[[#This Row],[H_total]]+MainTbl[[#This Row],[Li_total]]))/MainTbl[[#This Row],[C_total]],0)</f>
        <v>0.84074884393063609</v>
      </c>
      <c r="AW135" t="str">
        <f>IFERROR(VLOOKUP(MainTbl[[#This Row],[salt_1_smiles]],SaltTbl[],MATCH("Salt",SaltTbl[#Headers],0),FALSE),"")</f>
        <v>LiFSI</v>
      </c>
      <c r="AX135" t="str">
        <f>IFERROR(VLOOKUP(MainTbl[[#This Row],[salt_2_smiles]],SaltTbl[],MATCH("Salt",SaltTbl[#Headers],0),FALSE),"")</f>
        <v/>
      </c>
      <c r="AY135" t="str">
        <f>IFERROR(VLOOKUP(MainTbl[[#This Row],[solvent_1_smiles]],SolvTbl[],MATCH("Solvent",SolvTbl[#Headers],0),FALSE),"")</f>
        <v>Diethoxydimethylsilane</v>
      </c>
      <c r="AZ135" t="str">
        <f>IFERROR(VLOOKUP(MainTbl[[#This Row],[solvent_2_smiles]],SolvTbl[],MATCH("Solvent",SolvTbl[#Headers],0),FALSE),"")</f>
        <v/>
      </c>
      <c r="BA135" t="str">
        <f>IFERROR(VLOOKUP(MainTbl[[#This Row],[solvent_3_smiles]],SolvTbl[],MATCH("Solvent",SolvTbl[#Headers],0),FALSE),"")</f>
        <v/>
      </c>
      <c r="BB135">
        <f>--(MainTbl[[#This Row],[solv_1_ratio]]&gt;0)+--(MainTbl[[#This Row],[solv_2_ratio]]&gt;0)+--(MainTbl[[#This Row],[solv_3_ratio]]&gt;0)</f>
        <v>1</v>
      </c>
      <c r="BC135" t="str">
        <f>IF(AND(MainTbl[[#This Row],[SaltName1]]&lt;&gt;"",MainTbl[[#This Row],[salt_1_conc]]&gt;0),TEXT(MainTbl[[#This Row],[salt_1_conc]],"0.###")&amp;" M "&amp;MainTbl[[#This Row],[SaltName1]],"")</f>
        <v>1.5 M LiFSI</v>
      </c>
      <c r="BD135" t="str">
        <f>IF(AND(MainTbl[[#This Row],[SaltName2]]&lt;&gt;"",MainTbl[[#This Row],[salt_2_conc]]&gt;0),TEXT(MainTbl[[#This Row],[salt_2_conc]],"0.###")&amp;" M "&amp;MainTbl[[#This Row],[SaltName2]],"")</f>
        <v/>
      </c>
      <c r="BE135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1.5 M LiFSI</v>
      </c>
      <c r="BF135" t="str">
        <f>IF(MainTbl[[#This Row],[SolvCount]]=1,MainTbl[[#This Row],[SolvName1]],IF(MainTbl[[#This Row],[solv_1_ratio]]&gt;0,MainTbl[[#This Row],[SolvName1]]&amp;" "&amp;TEXT(MainTbl[[#This Row],[solv_1_ratio]]*100,"0.##")&amp;"%",""))</f>
        <v>Diethoxydimethylsilane</v>
      </c>
      <c r="BG135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35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5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Diethoxydimethylsilane</v>
      </c>
      <c r="BJ135" t="str">
        <f>TRIM(_xlfn.CONCAT(MainTbl[[#This Row],[Salt_text]]," ",MainTbl[[#This Row],[Solvent_text]]))</f>
        <v>1.5 M LiFSI Diethoxydimethylsilane</v>
      </c>
    </row>
    <row r="136" spans="1:62" x14ac:dyDescent="0.25">
      <c r="A136" t="s">
        <v>63</v>
      </c>
      <c r="D136" t="s">
        <v>22</v>
      </c>
      <c r="G136">
        <v>1</v>
      </c>
      <c r="H136">
        <v>0</v>
      </c>
      <c r="I136">
        <v>0</v>
      </c>
      <c r="J136">
        <v>0.8</v>
      </c>
      <c r="K136">
        <v>0</v>
      </c>
      <c r="L136">
        <v>0.99758999999999998</v>
      </c>
      <c r="M136">
        <f t="shared" si="4"/>
        <v>99.759</v>
      </c>
      <c r="N136">
        <f t="shared" si="5"/>
        <v>2.6179829574251272</v>
      </c>
      <c r="O136">
        <f>IFERROR(MainTbl[[#This Row],[solv_1_ratio]]*VLOOKUP(MainTbl[[#This Row],[solvent_1_smiles]],SolvTbl[],13,FALSE),0)</f>
        <v>8.4218092805035596</v>
      </c>
      <c r="P136">
        <f>IFERROR(MainTbl[[#This Row],[solv_2_ratio]]*VLOOKUP(MainTbl[[#This Row],[solvent_2_smiles]],SolvTbl[],13,FALSE),0)</f>
        <v>0</v>
      </c>
      <c r="Q136">
        <f>IFERROR(MainTbl[[#This Row],[solv_3_ratio]]*VLOOKUP(MainTbl[[#This Row],[solvent_3_smiles]],SolvTbl[],13,FALSE),0)</f>
        <v>0</v>
      </c>
      <c r="R136">
        <f>IFERROR(MainTbl[[#This Row],[salt_1_conc]],0)</f>
        <v>0.8</v>
      </c>
      <c r="S136">
        <f>IFERROR(MainTbl[[#This Row],[salt_2_conc]],0)</f>
        <v>0</v>
      </c>
      <c r="T136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16.843618561007119</v>
      </c>
      <c r="U136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3.2</v>
      </c>
      <c r="V136">
        <f>MainTbl[[#This Row],[O_from_solvents]]+MainTbl[[#This Row],[O_from_salts]]</f>
        <v>20.043618561007118</v>
      </c>
      <c r="W136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33.687237122014238</v>
      </c>
      <c r="X136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6">
        <f>MainTbl[[#This Row],[C_from_solvents]]+MainTbl[[#This Row],[C_from_salts]]</f>
        <v>33.687237122014238</v>
      </c>
      <c r="Z136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36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1.6</v>
      </c>
      <c r="AB136">
        <f>MainTbl[[#This Row],[F_from_solvents]]+MainTbl[[#This Row],[F_from_salts]]</f>
        <v>1.6</v>
      </c>
      <c r="AC136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101.06171136604272</v>
      </c>
      <c r="AD136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6">
        <f>MainTbl[[#This Row],[H_from_solvents]]+MainTbl[[#This Row],[H_from_salts]]</f>
        <v>101.06171136604272</v>
      </c>
      <c r="AF136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6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0.8</v>
      </c>
      <c r="AH136">
        <f>MainTbl[[#This Row],[Li_from_solvents]]+MainTbl[[#This Row],[Li_from_salts]]</f>
        <v>0.8</v>
      </c>
      <c r="AI136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168.01437632956763</v>
      </c>
      <c r="AJ136" s="2">
        <f>IFERROR(MainTbl[[#This Row],[O_total]]/MainTbl[[#This Row],[TotalAtoms_all]],0)</f>
        <v>0.11929704468676344</v>
      </c>
      <c r="AK136" s="2">
        <f>IFERROR(MainTbl[[#This Row],[O_from_solvents]]/MainTbl[[#This Row],[TotalAtoms_all]],0)</f>
        <v>0.10025105546901306</v>
      </c>
      <c r="AL136" s="2">
        <f>IFERROR(MainTbl[[#This Row],[O_from_salts]]/MainTbl[[#This Row],[TotalAtoms_all]],0)</f>
        <v>1.9045989217750383E-2</v>
      </c>
      <c r="AM136" s="2">
        <f>IFERROR(MainTbl[[#This Row],[C_total]]/MainTbl[[#This Row],[TotalAtoms_all]],0)</f>
        <v>0.20050211093802611</v>
      </c>
      <c r="AN136" s="2">
        <f>IFERROR(MainTbl[[#This Row],[C_from_solvents]]/MainTbl[[#This Row],[TotalAtoms_all]],0)</f>
        <v>0.20050211093802611</v>
      </c>
      <c r="AO136" s="2">
        <f>IFERROR(MainTbl[[#This Row],[C_from_salts]]/MainTbl[[#This Row],[TotalAtoms_all]],0)</f>
        <v>0</v>
      </c>
      <c r="AP136" s="2">
        <f>IFERROR(MainTbl[[#This Row],[F_total]]/MainTbl[[#This Row],[TotalAtoms_all]],0)</f>
        <v>9.5229946088751915E-3</v>
      </c>
      <c r="AQ136" s="2">
        <f>IFERROR(MainTbl[[#This Row],[F_from_solvents]]/MainTbl[[#This Row],[TotalAtoms_all]],0)</f>
        <v>0</v>
      </c>
      <c r="AR136" s="2">
        <f>IFERROR(MainTbl[[#This Row],[F_from_salts]]/MainTbl[[#This Row],[TotalAtoms_all]],0)</f>
        <v>9.5229946088751915E-3</v>
      </c>
      <c r="AS136" s="2">
        <f>IFERROR(MainTbl[[#This Row],[F_total]]/MainTbl[[#This Row],[O_total]],0)</f>
        <v>7.9825905443672837E-2</v>
      </c>
      <c r="AT136" s="2">
        <f>IFERROR(MainTbl[[#This Row],[F_total]]/MainTbl[[#This Row],[C_total]],0)</f>
        <v>4.7495732410611308E-2</v>
      </c>
      <c r="AU136" s="2">
        <f>IFERROR(MainTbl[[#This Row],[O_total]]/MainTbl[[#This Row],[C_total]],0)</f>
        <v>0.59499146482122256</v>
      </c>
      <c r="AV136" s="2">
        <f>IFERROR((MainTbl[[#This Row],[TotalAtoms_all]]-(MainTbl[[#This Row],[C_total]]+MainTbl[[#This Row],[H_total]]+MainTbl[[#This Row],[Li_total]]))/MainTbl[[#This Row],[C_total]],0)</f>
        <v>0.96373079584775034</v>
      </c>
      <c r="AW136" t="str">
        <f>IFERROR(VLOOKUP(MainTbl[[#This Row],[salt_1_smiles]],SaltTbl[],MATCH("Salt",SaltTbl[#Headers],0),FALSE),"")</f>
        <v>LiFSI</v>
      </c>
      <c r="AX136" t="str">
        <f>IFERROR(VLOOKUP(MainTbl[[#This Row],[salt_2_smiles]],SaltTbl[],MATCH("Salt",SaltTbl[#Headers],0),FALSE),"")</f>
        <v/>
      </c>
      <c r="AY136" t="str">
        <f>IFERROR(VLOOKUP(MainTbl[[#This Row],[solvent_1_smiles]],SolvTbl[],MATCH("Solvent",SolvTbl[#Headers],0),FALSE),"")</f>
        <v>Dimethoxydimethylsilane</v>
      </c>
      <c r="AZ136" t="str">
        <f>IFERROR(VLOOKUP(MainTbl[[#This Row],[solvent_2_smiles]],SolvTbl[],MATCH("Solvent",SolvTbl[#Headers],0),FALSE),"")</f>
        <v/>
      </c>
      <c r="BA136" t="str">
        <f>IFERROR(VLOOKUP(MainTbl[[#This Row],[solvent_3_smiles]],SolvTbl[],MATCH("Solvent",SolvTbl[#Headers],0),FALSE),"")</f>
        <v/>
      </c>
      <c r="BB136">
        <f>--(MainTbl[[#This Row],[solv_1_ratio]]&gt;0)+--(MainTbl[[#This Row],[solv_2_ratio]]&gt;0)+--(MainTbl[[#This Row],[solv_3_ratio]]&gt;0)</f>
        <v>1</v>
      </c>
      <c r="BC136" t="str">
        <f>IF(AND(MainTbl[[#This Row],[SaltName1]]&lt;&gt;"",MainTbl[[#This Row],[salt_1_conc]]&gt;0),TEXT(MainTbl[[#This Row],[salt_1_conc]],"0.###")&amp;" M "&amp;MainTbl[[#This Row],[SaltName1]],"")</f>
        <v>0.8 M LiFSI</v>
      </c>
      <c r="BD136" t="str">
        <f>IF(AND(MainTbl[[#This Row],[SaltName2]]&lt;&gt;"",MainTbl[[#This Row],[salt_2_conc]]&gt;0),TEXT(MainTbl[[#This Row],[salt_2_conc]],"0.###")&amp;" M "&amp;MainTbl[[#This Row],[SaltName2]],"")</f>
        <v/>
      </c>
      <c r="BE136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0.8 M LiFSI</v>
      </c>
      <c r="BF136" t="str">
        <f>IF(MainTbl[[#This Row],[SolvCount]]=1,MainTbl[[#This Row],[SolvName1]],IF(MainTbl[[#This Row],[solv_1_ratio]]&gt;0,MainTbl[[#This Row],[SolvName1]]&amp;" "&amp;TEXT(MainTbl[[#This Row],[solv_1_ratio]]*100,"0.##")&amp;"%",""))</f>
        <v>Dimethoxydimethylsilane</v>
      </c>
      <c r="BG136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36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6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Dimethoxydimethylsilane</v>
      </c>
      <c r="BJ136" t="str">
        <f>TRIM(_xlfn.CONCAT(MainTbl[[#This Row],[Salt_text]]," ",MainTbl[[#This Row],[Solvent_text]]))</f>
        <v>0.8 M LiFSI Dimethoxydimethylsilane</v>
      </c>
    </row>
    <row r="137" spans="1:62" x14ac:dyDescent="0.25">
      <c r="A137" t="s">
        <v>73</v>
      </c>
      <c r="D137" t="s">
        <v>22</v>
      </c>
      <c r="G137">
        <v>1</v>
      </c>
      <c r="H137">
        <v>0</v>
      </c>
      <c r="I137">
        <v>0</v>
      </c>
      <c r="J137">
        <v>2.62</v>
      </c>
      <c r="K137">
        <v>0</v>
      </c>
      <c r="L137">
        <v>0.98199999999999998</v>
      </c>
      <c r="M137">
        <f t="shared" si="4"/>
        <v>98.2</v>
      </c>
      <c r="N137">
        <f t="shared" si="5"/>
        <v>1.7447274948966935</v>
      </c>
      <c r="O137">
        <f>IFERROR(MainTbl[[#This Row],[solv_1_ratio]]*VLOOKUP(MainTbl[[#This Row],[solvent_1_smiles]],SolvTbl[],13,FALSE),0)</f>
        <v>10.485233296440846</v>
      </c>
      <c r="P137">
        <f>IFERROR(MainTbl[[#This Row],[solv_2_ratio]]*VLOOKUP(MainTbl[[#This Row],[solvent_2_smiles]],SolvTbl[],13,FALSE),0)</f>
        <v>0</v>
      </c>
      <c r="Q137">
        <f>IFERROR(MainTbl[[#This Row],[solv_3_ratio]]*VLOOKUP(MainTbl[[#This Row],[solvent_3_smiles]],SolvTbl[],13,FALSE),0)</f>
        <v>0</v>
      </c>
      <c r="R137">
        <f>IFERROR(MainTbl[[#This Row],[salt_1_conc]],0)</f>
        <v>2.62</v>
      </c>
      <c r="S137">
        <f>IFERROR(MainTbl[[#This Row],[salt_2_conc]],0)</f>
        <v>0</v>
      </c>
      <c r="T137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20.970466592881692</v>
      </c>
      <c r="U137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10.48</v>
      </c>
      <c r="V137">
        <f>MainTbl[[#This Row],[O_from_solvents]]+MainTbl[[#This Row],[O_from_salts]]</f>
        <v>31.450466592881693</v>
      </c>
      <c r="W137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41.940933185763384</v>
      </c>
      <c r="X137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7">
        <f>MainTbl[[#This Row],[C_from_solvents]]+MainTbl[[#This Row],[C_from_salts]]</f>
        <v>41.940933185763384</v>
      </c>
      <c r="Z137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0</v>
      </c>
      <c r="AA137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5.24</v>
      </c>
      <c r="AB137">
        <f>MainTbl[[#This Row],[F_from_solvents]]+MainTbl[[#This Row],[F_from_salts]]</f>
        <v>5.24</v>
      </c>
      <c r="AC137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83.881866371526769</v>
      </c>
      <c r="AD137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7">
        <f>MainTbl[[#This Row],[H_from_solvents]]+MainTbl[[#This Row],[H_from_salts]]</f>
        <v>83.881866371526769</v>
      </c>
      <c r="AF137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7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2.62</v>
      </c>
      <c r="AH137">
        <f>MainTbl[[#This Row],[Li_from_solvents]]+MainTbl[[#This Row],[Li_from_salts]]</f>
        <v>2.62</v>
      </c>
      <c r="AI137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183.47849944661272</v>
      </c>
      <c r="AJ137" s="2">
        <f>IFERROR(MainTbl[[#This Row],[O_total]]/MainTbl[[#This Row],[TotalAtoms_all]],0)</f>
        <v>0.17141227276078158</v>
      </c>
      <c r="AK137" s="2">
        <f>IFERROR(MainTbl[[#This Row],[O_from_solvents]]/MainTbl[[#This Row],[TotalAtoms_all]],0)</f>
        <v>0.11429386361960918</v>
      </c>
      <c r="AL137" s="2">
        <f>IFERROR(MainTbl[[#This Row],[O_from_salts]]/MainTbl[[#This Row],[TotalAtoms_all]],0)</f>
        <v>5.7118409141172409E-2</v>
      </c>
      <c r="AM137" s="2">
        <f>IFERROR(MainTbl[[#This Row],[C_total]]/MainTbl[[#This Row],[TotalAtoms_all]],0)</f>
        <v>0.22858772723921836</v>
      </c>
      <c r="AN137" s="2">
        <f>IFERROR(MainTbl[[#This Row],[C_from_solvents]]/MainTbl[[#This Row],[TotalAtoms_all]],0)</f>
        <v>0.22858772723921836</v>
      </c>
      <c r="AO137" s="2">
        <f>IFERROR(MainTbl[[#This Row],[C_from_salts]]/MainTbl[[#This Row],[TotalAtoms_all]],0)</f>
        <v>0</v>
      </c>
      <c r="AP137" s="2">
        <f>IFERROR(MainTbl[[#This Row],[F_total]]/MainTbl[[#This Row],[TotalAtoms_all]],0)</f>
        <v>2.8559204570586205E-2</v>
      </c>
      <c r="AQ137" s="2">
        <f>IFERROR(MainTbl[[#This Row],[F_from_solvents]]/MainTbl[[#This Row],[TotalAtoms_all]],0)</f>
        <v>0</v>
      </c>
      <c r="AR137" s="2">
        <f>IFERROR(MainTbl[[#This Row],[F_from_salts]]/MainTbl[[#This Row],[TotalAtoms_all]],0)</f>
        <v>2.8559204570586205E-2</v>
      </c>
      <c r="AS137" s="2">
        <f>IFERROR(MainTbl[[#This Row],[F_total]]/MainTbl[[#This Row],[O_total]],0)</f>
        <v>0.16661120064864124</v>
      </c>
      <c r="AT137" s="2">
        <f>IFERROR(MainTbl[[#This Row],[F_total]]/MainTbl[[#This Row],[C_total]],0)</f>
        <v>0.12493761111111111</v>
      </c>
      <c r="AU137" s="2">
        <f>IFERROR(MainTbl[[#This Row],[O_total]]/MainTbl[[#This Row],[C_total]],0)</f>
        <v>0.74987522222222225</v>
      </c>
      <c r="AV137" s="2">
        <f>IFERROR((MainTbl[[#This Row],[TotalAtoms_all]]-(MainTbl[[#This Row],[C_total]]+MainTbl[[#This Row],[H_total]]+MainTbl[[#This Row],[Li_total]]))/MainTbl[[#This Row],[C_total]],0)</f>
        <v>1.3122192500000005</v>
      </c>
      <c r="AW137" t="str">
        <f>IFERROR(VLOOKUP(MainTbl[[#This Row],[salt_1_smiles]],SaltTbl[],MATCH("Salt",SaltTbl[#Headers],0),FALSE),"")</f>
        <v>LiFSI</v>
      </c>
      <c r="AX137" t="str">
        <f>IFERROR(VLOOKUP(MainTbl[[#This Row],[salt_2_smiles]],SaltTbl[],MATCH("Salt",SaltTbl[#Headers],0),FALSE),"")</f>
        <v/>
      </c>
      <c r="AY137" t="str">
        <f>IFERROR(VLOOKUP(MainTbl[[#This Row],[solvent_1_smiles]],SolvTbl[],MATCH("Solvent",SolvTbl[#Headers],0),FALSE),"")</f>
        <v>TMS ((CH2)4SO2))</v>
      </c>
      <c r="AZ137" t="str">
        <f>IFERROR(VLOOKUP(MainTbl[[#This Row],[solvent_2_smiles]],SolvTbl[],MATCH("Solvent",SolvTbl[#Headers],0),FALSE),"")</f>
        <v/>
      </c>
      <c r="BA137" t="str">
        <f>IFERROR(VLOOKUP(MainTbl[[#This Row],[solvent_3_smiles]],SolvTbl[],MATCH("Solvent",SolvTbl[#Headers],0),FALSE),"")</f>
        <v/>
      </c>
      <c r="BB137">
        <f>--(MainTbl[[#This Row],[solv_1_ratio]]&gt;0)+--(MainTbl[[#This Row],[solv_2_ratio]]&gt;0)+--(MainTbl[[#This Row],[solv_3_ratio]]&gt;0)</f>
        <v>1</v>
      </c>
      <c r="BC137" t="str">
        <f>IF(AND(MainTbl[[#This Row],[SaltName1]]&lt;&gt;"",MainTbl[[#This Row],[salt_1_conc]]&gt;0),TEXT(MainTbl[[#This Row],[salt_1_conc]],"0.###")&amp;" M "&amp;MainTbl[[#This Row],[SaltName1]],"")</f>
        <v>2.62 M LiFSI</v>
      </c>
      <c r="BD137" t="str">
        <f>IF(AND(MainTbl[[#This Row],[SaltName2]]&lt;&gt;"",MainTbl[[#This Row],[salt_2_conc]]&gt;0),TEXT(MainTbl[[#This Row],[salt_2_conc]],"0.###")&amp;" M "&amp;MainTbl[[#This Row],[SaltName2]],"")</f>
        <v/>
      </c>
      <c r="BE137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2.62 M LiFSI</v>
      </c>
      <c r="BF137" t="str">
        <f>IF(MainTbl[[#This Row],[SolvCount]]=1,MainTbl[[#This Row],[SolvName1]],IF(MainTbl[[#This Row],[solv_1_ratio]]&gt;0,MainTbl[[#This Row],[SolvName1]]&amp;" "&amp;TEXT(MainTbl[[#This Row],[solv_1_ratio]]*100,"0.##")&amp;"%",""))</f>
        <v>TMS ((CH2)4SO2))</v>
      </c>
      <c r="BG137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37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7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TMS ((CH2)4SO2))</v>
      </c>
      <c r="BJ137" t="str">
        <f>TRIM(_xlfn.CONCAT(MainTbl[[#This Row],[Salt_text]]," ",MainTbl[[#This Row],[Solvent_text]]))</f>
        <v>2.62 M LiFSI TMS ((CH2)4SO2))</v>
      </c>
    </row>
    <row r="138" spans="1:62" x14ac:dyDescent="0.25">
      <c r="A138" t="s">
        <v>73</v>
      </c>
      <c r="B138" t="s">
        <v>51</v>
      </c>
      <c r="D138" t="s">
        <v>22</v>
      </c>
      <c r="G138">
        <v>0.39</v>
      </c>
      <c r="H138">
        <v>0.61</v>
      </c>
      <c r="I138">
        <v>0</v>
      </c>
      <c r="J138">
        <v>1.2</v>
      </c>
      <c r="K138">
        <v>0</v>
      </c>
      <c r="L138">
        <v>0.98799999999999999</v>
      </c>
      <c r="M138">
        <f t="shared" si="4"/>
        <v>98.8</v>
      </c>
      <c r="N138">
        <f t="shared" si="5"/>
        <v>1.9208187539523749</v>
      </c>
      <c r="O138">
        <f>IFERROR(MainTbl[[#This Row],[solv_1_ratio]]*VLOOKUP(MainTbl[[#This Row],[solvent_1_smiles]],SolvTbl[],13,FALSE),0)</f>
        <v>4.0892409856119301</v>
      </c>
      <c r="P138">
        <f>IFERROR(MainTbl[[#This Row],[solv_2_ratio]]*VLOOKUP(MainTbl[[#This Row],[solvent_2_smiles]],SolvTbl[],13,FALSE),0)</f>
        <v>4.0274687394972473</v>
      </c>
      <c r="Q138">
        <f>IFERROR(MainTbl[[#This Row],[solv_3_ratio]]*VLOOKUP(MainTbl[[#This Row],[solvent_3_smiles]],SolvTbl[],13,FALSE),0)</f>
        <v>0</v>
      </c>
      <c r="R138">
        <f>IFERROR(MainTbl[[#This Row],[salt_1_conc]],0)</f>
        <v>1.2</v>
      </c>
      <c r="S138">
        <f>IFERROR(MainTbl[[#This Row],[salt_2_conc]],0)</f>
        <v>0</v>
      </c>
      <c r="T138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12.205950710721108</v>
      </c>
      <c r="U138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4.8</v>
      </c>
      <c r="V138">
        <f>MainTbl[[#This Row],[O_from_solvents]]+MainTbl[[#This Row],[O_from_salts]]</f>
        <v>17.005950710721109</v>
      </c>
      <c r="W138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36.494307639933957</v>
      </c>
      <c r="X138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8">
        <f>MainTbl[[#This Row],[C_from_solvents]]+MainTbl[[#This Row],[C_from_salts]]</f>
        <v>36.494307639933957</v>
      </c>
      <c r="Z138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32.219749915977978</v>
      </c>
      <c r="AA138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2.4</v>
      </c>
      <c r="AB138">
        <f>MainTbl[[#This Row],[F_from_solvents]]+MainTbl[[#This Row],[F_from_salts]]</f>
        <v>34.619749915977977</v>
      </c>
      <c r="AC138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48.823802842884433</v>
      </c>
      <c r="AD138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8">
        <f>MainTbl[[#This Row],[H_from_solvents]]+MainTbl[[#This Row],[H_from_salts]]</f>
        <v>48.823802842884433</v>
      </c>
      <c r="AF138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8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1.2</v>
      </c>
      <c r="AH138">
        <f>MainTbl[[#This Row],[Li_from_solvents]]+MainTbl[[#This Row],[Li_from_salts]]</f>
        <v>1.2</v>
      </c>
      <c r="AI138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145.8330520951294</v>
      </c>
      <c r="AJ138" s="2">
        <f>IFERROR(MainTbl[[#This Row],[O_total]]/MainTbl[[#This Row],[TotalAtoms_all]],0)</f>
        <v>0.11661245833096763</v>
      </c>
      <c r="AK138" s="2">
        <f>IFERROR(MainTbl[[#This Row],[O_from_solvents]]/MainTbl[[#This Row],[TotalAtoms_all]],0)</f>
        <v>8.3698109141670821E-2</v>
      </c>
      <c r="AL138" s="2">
        <f>IFERROR(MainTbl[[#This Row],[O_from_salts]]/MainTbl[[#This Row],[TotalAtoms_all]],0)</f>
        <v>3.2914349189296796E-2</v>
      </c>
      <c r="AM138" s="2">
        <f>IFERROR(MainTbl[[#This Row],[C_total]]/MainTbl[[#This Row],[TotalAtoms_all]],0)</f>
        <v>0.25024716355883503</v>
      </c>
      <c r="AN138" s="2">
        <f>IFERROR(MainTbl[[#This Row],[C_from_solvents]]/MainTbl[[#This Row],[TotalAtoms_all]],0)</f>
        <v>0.25024716355883503</v>
      </c>
      <c r="AO138" s="2">
        <f>IFERROR(MainTbl[[#This Row],[C_from_salts]]/MainTbl[[#This Row],[TotalAtoms_all]],0)</f>
        <v>0</v>
      </c>
      <c r="AP138" s="2">
        <f>IFERROR(MainTbl[[#This Row],[F_total]]/MainTbl[[#This Row],[TotalAtoms_all]],0)</f>
        <v>0.23739302866263073</v>
      </c>
      <c r="AQ138" s="2">
        <f>IFERROR(MainTbl[[#This Row],[F_from_solvents]]/MainTbl[[#This Row],[TotalAtoms_all]],0)</f>
        <v>0.22093585406798236</v>
      </c>
      <c r="AR138" s="2">
        <f>IFERROR(MainTbl[[#This Row],[F_from_salts]]/MainTbl[[#This Row],[TotalAtoms_all]],0)</f>
        <v>1.6457174594648398E-2</v>
      </c>
      <c r="AS138" s="2">
        <f>IFERROR(MainTbl[[#This Row],[F_total]]/MainTbl[[#This Row],[O_total]],0)</f>
        <v>2.0357432821531436</v>
      </c>
      <c r="AT138" s="2">
        <f>IFERROR(MainTbl[[#This Row],[F_total]]/MainTbl[[#This Row],[C_total]],0)</f>
        <v>0.94863424338800872</v>
      </c>
      <c r="AU138" s="2">
        <f>IFERROR(MainTbl[[#This Row],[O_total]]/MainTbl[[#This Row],[C_total]],0)</f>
        <v>0.46598913119569141</v>
      </c>
      <c r="AV138" s="2">
        <f>IFERROR((MainTbl[[#This Row],[TotalAtoms_all]]-(MainTbl[[#This Row],[C_total]]+MainTbl[[#This Row],[H_total]]+MainTbl[[#This Row],[Li_total]]))/MainTbl[[#This Row],[C_total]],0)</f>
        <v>1.6253203704406092</v>
      </c>
      <c r="AW138" t="str">
        <f>IFERROR(VLOOKUP(MainTbl[[#This Row],[salt_1_smiles]],SaltTbl[],MATCH("Salt",SaltTbl[#Headers],0),FALSE),"")</f>
        <v>LiFSI</v>
      </c>
      <c r="AX138" t="str">
        <f>IFERROR(VLOOKUP(MainTbl[[#This Row],[salt_2_smiles]],SaltTbl[],MATCH("Salt",SaltTbl[#Headers],0),FALSE),"")</f>
        <v/>
      </c>
      <c r="AY138" t="str">
        <f>IFERROR(VLOOKUP(MainTbl[[#This Row],[solvent_1_smiles]],SolvTbl[],MATCH("Solvent",SolvTbl[#Headers],0),FALSE),"")</f>
        <v>TMS ((CH2)4SO2))</v>
      </c>
      <c r="AZ138" t="str">
        <f>IFERROR(VLOOKUP(MainTbl[[#This Row],[solvent_2_smiles]],SolvTbl[],MATCH("Solvent",SolvTbl[#Headers],0),FALSE),"")</f>
        <v>TTE (C5H4F8O)</v>
      </c>
      <c r="BA138" t="str">
        <f>IFERROR(VLOOKUP(MainTbl[[#This Row],[solvent_3_smiles]],SolvTbl[],MATCH("Solvent",SolvTbl[#Headers],0),FALSE),"")</f>
        <v/>
      </c>
      <c r="BB138">
        <f>--(MainTbl[[#This Row],[solv_1_ratio]]&gt;0)+--(MainTbl[[#This Row],[solv_2_ratio]]&gt;0)+--(MainTbl[[#This Row],[solv_3_ratio]]&gt;0)</f>
        <v>2</v>
      </c>
      <c r="BC138" t="str">
        <f>IF(AND(MainTbl[[#This Row],[SaltName1]]&lt;&gt;"",MainTbl[[#This Row],[salt_1_conc]]&gt;0),TEXT(MainTbl[[#This Row],[salt_1_conc]],"0.###")&amp;" M "&amp;MainTbl[[#This Row],[SaltName1]],"")</f>
        <v>1.2 M LiFSI</v>
      </c>
      <c r="BD138" t="str">
        <f>IF(AND(MainTbl[[#This Row],[SaltName2]]&lt;&gt;"",MainTbl[[#This Row],[salt_2_conc]]&gt;0),TEXT(MainTbl[[#This Row],[salt_2_conc]],"0.###")&amp;" M "&amp;MainTbl[[#This Row],[SaltName2]],"")</f>
        <v/>
      </c>
      <c r="BE138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1.2 M LiFSI</v>
      </c>
      <c r="BF138" t="str">
        <f>IF(MainTbl[[#This Row],[SolvCount]]=1,MainTbl[[#This Row],[SolvName1]],IF(MainTbl[[#This Row],[solv_1_ratio]]&gt;0,MainTbl[[#This Row],[SolvName1]]&amp;" "&amp;TEXT(MainTbl[[#This Row],[solv_1_ratio]]*100,"0.##")&amp;"%",""))</f>
        <v>TMS ((CH2)4SO2)) 39.%</v>
      </c>
      <c r="BG138" t="str">
        <f>IF(MainTbl[[#This Row],[SolvCount]]=1,MainTbl[[#This Row],[SolvName2]],IF(MainTbl[[#This Row],[solv_2_ratio]]&gt;0,MainTbl[[#This Row],[SolvName2]]&amp;" "&amp;TEXT(MainTbl[[#This Row],[solv_2_ratio]]*100,"0.##")&amp;"%",""))</f>
        <v>TTE (C5H4F8O) 61.%</v>
      </c>
      <c r="BH138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8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TMS ((CH2)4SO2)) 39.% + TTE (C5H4F8O) 61.%</v>
      </c>
      <c r="BJ138" t="str">
        <f>TRIM(_xlfn.CONCAT(MainTbl[[#This Row],[Salt_text]]," ",MainTbl[[#This Row],[Solvent_text]]))</f>
        <v>1.2 M LiFSI TMS ((CH2)4SO2)) 39.% + TTE (C5H4F8O) 61.%</v>
      </c>
    </row>
    <row r="139" spans="1:62" x14ac:dyDescent="0.25">
      <c r="A139" t="s">
        <v>74</v>
      </c>
      <c r="D139" t="s">
        <v>22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0.98699999999999999</v>
      </c>
      <c r="M139">
        <f t="shared" si="4"/>
        <v>98.7</v>
      </c>
      <c r="N139">
        <f t="shared" si="5"/>
        <v>1.8860566476931628</v>
      </c>
      <c r="O139">
        <f>IFERROR(MainTbl[[#This Row],[solv_1_ratio]]*VLOOKUP(MainTbl[[#This Row],[solvent_1_smiles]],SolvTbl[],13,FALSE),0)</f>
        <v>7.5979847806520233</v>
      </c>
      <c r="P139">
        <f>IFERROR(MainTbl[[#This Row],[solv_2_ratio]]*VLOOKUP(MainTbl[[#This Row],[solvent_2_smiles]],SolvTbl[],13,FALSE),0)</f>
        <v>0</v>
      </c>
      <c r="Q139">
        <f>IFERROR(MainTbl[[#This Row],[solv_3_ratio]]*VLOOKUP(MainTbl[[#This Row],[solvent_3_smiles]],SolvTbl[],13,FALSE),0)</f>
        <v>0</v>
      </c>
      <c r="R139">
        <f>IFERROR(MainTbl[[#This Row],[salt_1_conc]],0)</f>
        <v>1</v>
      </c>
      <c r="S139">
        <f>IFERROR(MainTbl[[#This Row],[salt_2_conc]],0)</f>
        <v>0</v>
      </c>
      <c r="T139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22.79395434195607</v>
      </c>
      <c r="U139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39">
        <f>MainTbl[[#This Row],[O_from_solvents]]+MainTbl[[#This Row],[O_from_salts]]</f>
        <v>26.79395434195607</v>
      </c>
      <c r="W139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37.98992390326012</v>
      </c>
      <c r="X139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39">
        <f>MainTbl[[#This Row],[C_from_solvents]]+MainTbl[[#This Row],[C_from_salts]]</f>
        <v>37.98992390326012</v>
      </c>
      <c r="Z139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22.79395434195607</v>
      </c>
      <c r="AA139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139">
        <f>MainTbl[[#This Row],[F_from_solvents]]+MainTbl[[#This Row],[F_from_salts]]</f>
        <v>24.79395434195607</v>
      </c>
      <c r="AC139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45.58790868391214</v>
      </c>
      <c r="AD139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39">
        <f>MainTbl[[#This Row],[H_from_solvents]]+MainTbl[[#This Row],[H_from_salts]]</f>
        <v>45.58790868391214</v>
      </c>
      <c r="AF139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39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39">
        <f>MainTbl[[#This Row],[Li_from_solvents]]+MainTbl[[#This Row],[Li_from_salts]]</f>
        <v>1</v>
      </c>
      <c r="AI139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139.16574127108439</v>
      </c>
      <c r="AJ139" s="2">
        <f>IFERROR(MainTbl[[#This Row],[O_total]]/MainTbl[[#This Row],[TotalAtoms_all]],0)</f>
        <v>0.19253268870075907</v>
      </c>
      <c r="AK139" s="2">
        <f>IFERROR(MainTbl[[#This Row],[O_from_solvents]]/MainTbl[[#This Row],[TotalAtoms_all]],0)</f>
        <v>0.1637899826046639</v>
      </c>
      <c r="AL139" s="2">
        <f>IFERROR(MainTbl[[#This Row],[O_from_salts]]/MainTbl[[#This Row],[TotalAtoms_all]],0)</f>
        <v>2.8742706096095166E-2</v>
      </c>
      <c r="AM139" s="2">
        <f>IFERROR(MainTbl[[#This Row],[C_total]]/MainTbl[[#This Row],[TotalAtoms_all]],0)</f>
        <v>0.27298330434110657</v>
      </c>
      <c r="AN139" s="2">
        <f>IFERROR(MainTbl[[#This Row],[C_from_solvents]]/MainTbl[[#This Row],[TotalAtoms_all]],0)</f>
        <v>0.27298330434110657</v>
      </c>
      <c r="AO139" s="2">
        <f>IFERROR(MainTbl[[#This Row],[C_from_salts]]/MainTbl[[#This Row],[TotalAtoms_all]],0)</f>
        <v>0</v>
      </c>
      <c r="AP139" s="2">
        <f>IFERROR(MainTbl[[#This Row],[F_total]]/MainTbl[[#This Row],[TotalAtoms_all]],0)</f>
        <v>0.1781613356527115</v>
      </c>
      <c r="AQ139" s="2">
        <f>IFERROR(MainTbl[[#This Row],[F_from_solvents]]/MainTbl[[#This Row],[TotalAtoms_all]],0)</f>
        <v>0.1637899826046639</v>
      </c>
      <c r="AR139" s="2">
        <f>IFERROR(MainTbl[[#This Row],[F_from_salts]]/MainTbl[[#This Row],[TotalAtoms_all]],0)</f>
        <v>1.4371353048047583E-2</v>
      </c>
      <c r="AS139" s="2">
        <f>IFERROR(MainTbl[[#This Row],[F_total]]/MainTbl[[#This Row],[O_total]],0)</f>
        <v>0.92535629588394708</v>
      </c>
      <c r="AT139" s="2">
        <f>IFERROR(MainTbl[[#This Row],[F_total]]/MainTbl[[#This Row],[C_total]],0)</f>
        <v>0.65264553846153839</v>
      </c>
      <c r="AU139" s="2">
        <f>IFERROR(MainTbl[[#This Row],[O_total]]/MainTbl[[#This Row],[C_total]],0)</f>
        <v>0.70529107692307691</v>
      </c>
      <c r="AV139" s="2">
        <f>IFERROR((MainTbl[[#This Row],[TotalAtoms_all]]-(MainTbl[[#This Row],[C_total]]+MainTbl[[#This Row],[H_total]]+MainTbl[[#This Row],[Li_total]]))/MainTbl[[#This Row],[C_total]],0)</f>
        <v>1.4369049230769229</v>
      </c>
      <c r="AW139" t="str">
        <f>IFERROR(VLOOKUP(MainTbl[[#This Row],[salt_1_smiles]],SaltTbl[],MATCH("Salt",SaltTbl[#Headers],0),FALSE),"")</f>
        <v>LiFSI</v>
      </c>
      <c r="AX139" t="str">
        <f>IFERROR(VLOOKUP(MainTbl[[#This Row],[salt_2_smiles]],SaltTbl[],MATCH("Salt",SaltTbl[#Headers],0),FALSE),"")</f>
        <v/>
      </c>
      <c r="AY139" t="str">
        <f>IFERROR(VLOOKUP(MainTbl[[#This Row],[solvent_1_smiles]],SolvTbl[],MATCH("Solvent",SolvTbl[#Headers],0),FALSE),"")</f>
        <v>2-metoxi-4-(trifluorometil)-1,3-dioxolano</v>
      </c>
      <c r="AZ139" t="str">
        <f>IFERROR(VLOOKUP(MainTbl[[#This Row],[solvent_2_smiles]],SolvTbl[],MATCH("Solvent",SolvTbl[#Headers],0),FALSE),"")</f>
        <v/>
      </c>
      <c r="BA139" t="str">
        <f>IFERROR(VLOOKUP(MainTbl[[#This Row],[solvent_3_smiles]],SolvTbl[],MATCH("Solvent",SolvTbl[#Headers],0),FALSE),"")</f>
        <v/>
      </c>
      <c r="BB139">
        <f>--(MainTbl[[#This Row],[solv_1_ratio]]&gt;0)+--(MainTbl[[#This Row],[solv_2_ratio]]&gt;0)+--(MainTbl[[#This Row],[solv_3_ratio]]&gt;0)</f>
        <v>1</v>
      </c>
      <c r="BC139" t="str">
        <f>IF(AND(MainTbl[[#This Row],[SaltName1]]&lt;&gt;"",MainTbl[[#This Row],[salt_1_conc]]&gt;0),TEXT(MainTbl[[#This Row],[salt_1_conc]],"0.###")&amp;" M "&amp;MainTbl[[#This Row],[SaltName1]],"")</f>
        <v>1. M LiFSI</v>
      </c>
      <c r="BD139" t="str">
        <f>IF(AND(MainTbl[[#This Row],[SaltName2]]&lt;&gt;"",MainTbl[[#This Row],[salt_2_conc]]&gt;0),TEXT(MainTbl[[#This Row],[salt_2_conc]],"0.###")&amp;" M "&amp;MainTbl[[#This Row],[SaltName2]],"")</f>
        <v/>
      </c>
      <c r="BE139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139" t="str">
        <f>IF(MainTbl[[#This Row],[SolvCount]]=1,MainTbl[[#This Row],[SolvName1]],IF(MainTbl[[#This Row],[solv_1_ratio]]&gt;0,MainTbl[[#This Row],[SolvName1]]&amp;" "&amp;TEXT(MainTbl[[#This Row],[solv_1_ratio]]*100,"0.##")&amp;"%",""))</f>
        <v>2-metoxi-4-(trifluorometil)-1,3-dioxolano</v>
      </c>
      <c r="BG139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39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39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2-metoxi-4-(trifluorometil)-1,3-dioxolano</v>
      </c>
      <c r="BJ139" t="str">
        <f>TRIM(_xlfn.CONCAT(MainTbl[[#This Row],[Salt_text]]," ",MainTbl[[#This Row],[Solvent_text]]))</f>
        <v>1. M LiFSI 2-metoxi-4-(trifluorometil)-1,3-dioxolano</v>
      </c>
    </row>
    <row r="140" spans="1:62" x14ac:dyDescent="0.25">
      <c r="A140" t="s">
        <v>75</v>
      </c>
      <c r="D140" t="s">
        <v>22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0.99199999999999999</v>
      </c>
      <c r="M140">
        <f t="shared" si="4"/>
        <v>99.2</v>
      </c>
      <c r="N140">
        <f t="shared" si="5"/>
        <v>2.0969100130080562</v>
      </c>
      <c r="O140">
        <f>IFERROR(MainTbl[[#This Row],[solv_1_ratio]]*VLOOKUP(MainTbl[[#This Row],[solvent_1_smiles]],SolvTbl[],13,FALSE),0)</f>
        <v>6.5798587061919935</v>
      </c>
      <c r="P140">
        <f>IFERROR(MainTbl[[#This Row],[solv_2_ratio]]*VLOOKUP(MainTbl[[#This Row],[solvent_2_smiles]],SolvTbl[],13,FALSE),0)</f>
        <v>0</v>
      </c>
      <c r="Q140">
        <f>IFERROR(MainTbl[[#This Row],[solv_3_ratio]]*VLOOKUP(MainTbl[[#This Row],[solvent_3_smiles]],SolvTbl[],13,FALSE),0)</f>
        <v>0</v>
      </c>
      <c r="R140">
        <f>IFERROR(MainTbl[[#This Row],[salt_1_conc]],0)</f>
        <v>1</v>
      </c>
      <c r="S140">
        <f>IFERROR(MainTbl[[#This Row],[salt_2_conc]],0)</f>
        <v>0</v>
      </c>
      <c r="T140">
        <f>IFERROR(MainTbl[[#This Row],[moles_s1]]*VLOOKUP(MainTbl[[#This Row],[solvent_1_smiles]],SolvTbl[],MATCH("O",SolvTbl[#Headers],0),FALSE),0)
+IFERROR(MainTbl[[#This Row],[moles_s2]]*VLOOKUP(MainTbl[[#This Row],[solvent_2_smiles]],SolvTbl[],MATCH("O",SolvTbl[#Headers],0),FALSE),0)
+IFERROR(MainTbl[[#This Row],[moles_s3]]*VLOOKUP(MainTbl[[#This Row],[solvent_3_smiles]],SolvTbl[],MATCH("O",SolvTbl[#Headers],0),FALSE),0)</f>
        <v>26.319434824767974</v>
      </c>
      <c r="U140">
        <f>IFERROR(MainTbl[[#This Row],[moles_sa1]]*VLOOKUP(MainTbl[[#This Row],[salt_1_smiles]],SaltTbl[],MATCH("O",SaltTbl[#Headers],0),FALSE),0)
+IFERROR(MainTbl[[#This Row],[moles_sa2]]*VLOOKUP(MainTbl[[#This Row],[salt_2_smiles]],SaltTbl[],MATCH("O",SaltTbl[#Headers],0),FALSE),0)</f>
        <v>4</v>
      </c>
      <c r="V140">
        <f>MainTbl[[#This Row],[O_from_solvents]]+MainTbl[[#This Row],[O_from_salts]]</f>
        <v>30.319434824767974</v>
      </c>
      <c r="W140">
        <f>IFERROR(MainTbl[[#This Row],[moles_s1]]*VLOOKUP(MainTbl[[#This Row],[solvent_1_smiles]],SolvTbl[],MATCH("C",SolvTbl[#Headers],0),FALSE),0)
+IFERROR(MainTbl[[#This Row],[moles_s2]]*VLOOKUP(MainTbl[[#This Row],[solvent_2_smiles]],SolvTbl[],MATCH("C",SolvTbl[#Headers],0),FALSE),0)
+IFERROR(MainTbl[[#This Row],[moles_s3]]*VLOOKUP(MainTbl[[#This Row],[solvent_3_smiles]],SolvTbl[],MATCH("C",SolvTbl[#Headers],0),FALSE),0)</f>
        <v>39.479152237151965</v>
      </c>
      <c r="X140">
        <f>IFERROR(MainTbl[[#This Row],[moles_sa1]]*VLOOKUP(MainTbl[[#This Row],[salt_1_smiles]],SaltTbl[],MATCH("C",SaltTbl[#Headers],0),FALSE),0)
+IFERROR(MainTbl[[#This Row],[moles_sa2]]*VLOOKUP(MainTbl[[#This Row],[salt_2_smiles]],SaltTbl[],MATCH("C",SaltTbl[#Headers],0),FALSE),0)</f>
        <v>0</v>
      </c>
      <c r="Y140">
        <f>MainTbl[[#This Row],[C_from_solvents]]+MainTbl[[#This Row],[C_from_salts]]</f>
        <v>39.479152237151965</v>
      </c>
      <c r="Z140">
        <f>IFERROR(MainTbl[[#This Row],[moles_s1]]*VLOOKUP(MainTbl[[#This Row],[solvent_1_smiles]],SolvTbl[],MATCH("F",SolvTbl[#Headers],0),FALSE),0)
+IFERROR(MainTbl[[#This Row],[moles_s2]]*VLOOKUP(MainTbl[[#This Row],[solvent_2_smiles]],SolvTbl[],MATCH("F",SolvTbl[#Headers],0),FALSE),0)
+IFERROR(MainTbl[[#This Row],[moles_s3]]*VLOOKUP(MainTbl[[#This Row],[solvent_3_smiles]],SolvTbl[],MATCH("F",SolvTbl[#Headers],0),FALSE),0)</f>
        <v>19.739576118575982</v>
      </c>
      <c r="AA140">
        <f>IFERROR(MainTbl[[#This Row],[moles_sa1]]*VLOOKUP(MainTbl[[#This Row],[salt_1_smiles]],SaltTbl[],MATCH("F",SaltTbl[#Headers],0),FALSE),0)
+IFERROR(MainTbl[[#This Row],[moles_sa2]]*VLOOKUP(MainTbl[[#This Row],[salt_2_smiles]],SaltTbl[],MATCH("F",SaltTbl[#Headers],0),FALSE),0)</f>
        <v>2</v>
      </c>
      <c r="AB140">
        <f>MainTbl[[#This Row],[F_from_solvents]]+MainTbl[[#This Row],[F_from_salts]]</f>
        <v>21.739576118575982</v>
      </c>
      <c r="AC140">
        <f>IFERROR(MainTbl[[#This Row],[moles_s1]]*VLOOKUP(MainTbl[[#This Row],[solvent_1_smiles]],SolvTbl[],MATCH("H",SolvTbl[#Headers],0),FALSE),0)
+IFERROR(MainTbl[[#This Row],[moles_s2]]*VLOOKUP(MainTbl[[#This Row],[solvent_2_smiles]],SolvTbl[],MATCH("H",SolvTbl[#Headers],0),FALSE),0)
+IFERROR(MainTbl[[#This Row],[moles_s3]]*VLOOKUP(MainTbl[[#This Row],[solvent_3_smiles]],SolvTbl[],MATCH("H",SolvTbl[#Headers],0),FALSE),0)</f>
        <v>59.21872835572794</v>
      </c>
      <c r="AD140">
        <f>IFERROR(MainTbl[[#This Row],[moles_sa1]]*VLOOKUP(MainTbl[[#This Row],[salt_1_smiles]],SaltTbl[],MATCH("H",SaltTbl[#Headers],0),FALSE),0)
+IFERROR(MainTbl[[#This Row],[moles_sa2]]*VLOOKUP(MainTbl[[#This Row],[salt_2_smiles]],SaltTbl[],MATCH("H",SaltTbl[#Headers],0),FALSE),0)</f>
        <v>0</v>
      </c>
      <c r="AE140">
        <f>MainTbl[[#This Row],[H_from_solvents]]+MainTbl[[#This Row],[H_from_salts]]</f>
        <v>59.21872835572794</v>
      </c>
      <c r="AF140">
        <f>IFERROR(MainTbl[[#This Row],[moles_s1]]*VLOOKUP(MainTbl[[#This Row],[solvent_1_smiles]],SolvTbl[],MATCH("Li",SolvTbl[#Headers],0),FALSE),0)
+IFERROR(MainTbl[[#This Row],[moles_s2]]*VLOOKUP(MainTbl[[#This Row],[solvent_2_smiles]],SolvTbl[],MATCH("Li",SolvTbl[#Headers],0),FALSE),0)
+IFERROR(MainTbl[[#This Row],[moles_s3]]*VLOOKUP(MainTbl[[#This Row],[solvent_3_smiles]],SolvTbl[],MATCH("Li",SolvTbl[#Headers],0),FALSE),0)</f>
        <v>0</v>
      </c>
      <c r="AG140">
        <f>IFERROR(MainTbl[[#This Row],[moles_sa1]]*VLOOKUP(MainTbl[[#This Row],[salt_1_smiles]],SaltTbl[],MATCH("Li",SaltTbl[#Headers],0),FALSE),0)
+IFERROR(MainTbl[[#This Row],[moles_sa2]]*VLOOKUP(MainTbl[[#This Row],[salt_2_smiles]],SaltTbl[],MATCH("Li",SaltTbl[#Headers],0),FALSE),0)</f>
        <v>1</v>
      </c>
      <c r="AH140">
        <f>MainTbl[[#This Row],[Li_from_solvents]]+MainTbl[[#This Row],[Li_from_salts]]</f>
        <v>1</v>
      </c>
      <c r="AI140">
        <f>IFERROR(MainTbl[[#This Row],[moles_s1]]*VLOOKUP(MainTbl[[#This Row],[solvent_1_smiles]],SolvTbl[],MATCH("TotalAtoms",SolvTbl[#Headers],0),FALSE),0)
+IFERROR(MainTbl[[#This Row],[moles_s2]]*VLOOKUP(MainTbl[[#This Row],[solvent_2_smiles]],SolvTbl[],MATCH("TotalAtoms",SolvTbl[#Headers],0),FALSE),0)
+IFERROR(MainTbl[[#This Row],[moles_s3]]*VLOOKUP(MainTbl[[#This Row],[solvent_3_smiles]],SolvTbl[],MATCH("TotalAtoms",SolvTbl[#Headers],0),FALSE),0)
+IFERROR(MainTbl[[#This Row],[moles_sa1]]*VLOOKUP(MainTbl[[#This Row],[salt_1_smiles]],SaltTbl[],MATCH("TotalAtoms",SaltTbl[#Headers],0),FALSE),0)
+IFERROR(MainTbl[[#This Row],[moles_sa2]]*VLOOKUP(MainTbl[[#This Row],[salt_2_smiles]],SaltTbl[],MATCH("TotalAtoms",SaltTbl[#Headers],0),FALSE),0)</f>
        <v>154.75689153622386</v>
      </c>
      <c r="AJ140" s="2">
        <f>IFERROR(MainTbl[[#This Row],[O_total]]/MainTbl[[#This Row],[TotalAtoms_all]],0)</f>
        <v>0.1959165406063427</v>
      </c>
      <c r="AK140" s="2">
        <f>IFERROR(MainTbl[[#This Row],[O_from_solvents]]/MainTbl[[#This Row],[TotalAtoms_all]],0)</f>
        <v>0.17006954949471442</v>
      </c>
      <c r="AL140" s="2">
        <f>IFERROR(MainTbl[[#This Row],[O_from_salts]]/MainTbl[[#This Row],[TotalAtoms_all]],0)</f>
        <v>2.5846991111628279E-2</v>
      </c>
      <c r="AM140" s="2">
        <f>IFERROR(MainTbl[[#This Row],[C_total]]/MainTbl[[#This Row],[TotalAtoms_all]],0)</f>
        <v>0.25510432424207163</v>
      </c>
      <c r="AN140" s="2">
        <f>IFERROR(MainTbl[[#This Row],[C_from_solvents]]/MainTbl[[#This Row],[TotalAtoms_all]],0)</f>
        <v>0.25510432424207163</v>
      </c>
      <c r="AO140" s="2">
        <f>IFERROR(MainTbl[[#This Row],[C_from_salts]]/MainTbl[[#This Row],[TotalAtoms_all]],0)</f>
        <v>0</v>
      </c>
      <c r="AP140" s="2">
        <f>IFERROR(MainTbl[[#This Row],[F_total]]/MainTbl[[#This Row],[TotalAtoms_all]],0)</f>
        <v>0.14047565767684997</v>
      </c>
      <c r="AQ140" s="2">
        <f>IFERROR(MainTbl[[#This Row],[F_from_solvents]]/MainTbl[[#This Row],[TotalAtoms_all]],0)</f>
        <v>0.12755216212103582</v>
      </c>
      <c r="AR140" s="2">
        <f>IFERROR(MainTbl[[#This Row],[F_from_salts]]/MainTbl[[#This Row],[TotalAtoms_all]],0)</f>
        <v>1.292349555581414E-2</v>
      </c>
      <c r="AS140" s="2">
        <f>IFERROR(MainTbl[[#This Row],[F_total]]/MainTbl[[#This Row],[O_total]],0)</f>
        <v>0.7170178548584587</v>
      </c>
      <c r="AT140" s="2">
        <f>IFERROR(MainTbl[[#This Row],[F_total]]/MainTbl[[#This Row],[C_total]],0)</f>
        <v>0.55065964912280696</v>
      </c>
      <c r="AU140" s="2">
        <f>IFERROR(MainTbl[[#This Row],[O_total]]/MainTbl[[#This Row],[C_total]],0)</f>
        <v>0.76798596491228066</v>
      </c>
      <c r="AV140" s="2">
        <f>IFERROR((MainTbl[[#This Row],[TotalAtoms_all]]-(MainTbl[[#This Row],[C_total]]+MainTbl[[#This Row],[H_total]]+MainTbl[[#This Row],[Li_total]]))/MainTbl[[#This Row],[C_total]],0)</f>
        <v>1.3946350877192983</v>
      </c>
      <c r="AW140" t="str">
        <f>IFERROR(VLOOKUP(MainTbl[[#This Row],[salt_1_smiles]],SaltTbl[],MATCH("Salt",SaltTbl[#Headers],0),FALSE),"")</f>
        <v>LiFSI</v>
      </c>
      <c r="AX140" t="str">
        <f>IFERROR(VLOOKUP(MainTbl[[#This Row],[salt_2_smiles]],SaltTbl[],MATCH("Salt",SaltTbl[#Headers],0),FALSE),"")</f>
        <v/>
      </c>
      <c r="AY140" t="str">
        <f>IFERROR(VLOOKUP(MainTbl[[#This Row],[solvent_1_smiles]],SolvTbl[],MATCH("Solvent",SolvTbl[#Headers],0),FALSE),"")</f>
        <v>2,2-Dimetoxi-4-(trifluorometil)-1,3-dioxolano</v>
      </c>
      <c r="AZ140" t="str">
        <f>IFERROR(VLOOKUP(MainTbl[[#This Row],[solvent_2_smiles]],SolvTbl[],MATCH("Solvent",SolvTbl[#Headers],0),FALSE),"")</f>
        <v/>
      </c>
      <c r="BA140" t="str">
        <f>IFERROR(VLOOKUP(MainTbl[[#This Row],[solvent_3_smiles]],SolvTbl[],MATCH("Solvent",SolvTbl[#Headers],0),FALSE),"")</f>
        <v/>
      </c>
      <c r="BB140">
        <f>--(MainTbl[[#This Row],[solv_1_ratio]]&gt;0)+--(MainTbl[[#This Row],[solv_2_ratio]]&gt;0)+--(MainTbl[[#This Row],[solv_3_ratio]]&gt;0)</f>
        <v>1</v>
      </c>
      <c r="BC140" t="str">
        <f>IF(AND(MainTbl[[#This Row],[SaltName1]]&lt;&gt;"",MainTbl[[#This Row],[salt_1_conc]]&gt;0),TEXT(MainTbl[[#This Row],[salt_1_conc]],"0.###")&amp;" M "&amp;MainTbl[[#This Row],[SaltName1]],"")</f>
        <v>1. M LiFSI</v>
      </c>
      <c r="BD140" t="str">
        <f>IF(AND(MainTbl[[#This Row],[SaltName2]]&lt;&gt;"",MainTbl[[#This Row],[salt_2_conc]]&gt;0),TEXT(MainTbl[[#This Row],[salt_2_conc]],"0.###")&amp;" M "&amp;MainTbl[[#This Row],[SaltName2]],"")</f>
        <v/>
      </c>
      <c r="BE140" t="str">
        <f>IF(LEN(MainTbl[[#This Row],[Salt1_text]])=0,
   MainTbl[[#This Row],[Salt2_text]],
   IF(LEN(MainTbl[[#This Row],[Salt2_text]])=0,
      MainTbl[[#This Row],[Salt1_text]],
      MainTbl[[#This Row],[Salt1_text]]&amp;" + "&amp;MainTbl[[#This Row],[Salt2_text]])
)</f>
        <v>1. M LiFSI</v>
      </c>
      <c r="BF140" t="str">
        <f>IF(MainTbl[[#This Row],[SolvCount]]=1,MainTbl[[#This Row],[SolvName1]],IF(MainTbl[[#This Row],[solv_1_ratio]]&gt;0,MainTbl[[#This Row],[SolvName1]]&amp;" "&amp;TEXT(MainTbl[[#This Row],[solv_1_ratio]]*100,"0.##")&amp;"%",""))</f>
        <v>2,2-Dimetoxi-4-(trifluorometil)-1,3-dioxolano</v>
      </c>
      <c r="BG140" t="str">
        <f>IF(MainTbl[[#This Row],[SolvCount]]=1,MainTbl[[#This Row],[SolvName2]],IF(MainTbl[[#This Row],[solv_2_ratio]]&gt;0,MainTbl[[#This Row],[SolvName2]]&amp;" "&amp;TEXT(MainTbl[[#This Row],[solv_2_ratio]]*100,"0.##")&amp;"%",""))</f>
        <v/>
      </c>
      <c r="BH140" t="str">
        <f>IF(MainTbl[[#This Row],[SolvCount]]=1,MainTbl[[#This Row],[SolvName3]],IF(MainTbl[[#This Row],[solv_3_ratio]]&gt;0,MainTbl[[#This Row],[SolvName3]]&amp;" "&amp;TEXT(MainTbl[[#This Row],[solv_3_ratio]]*100,"0.##")&amp;"%",""))</f>
        <v/>
      </c>
      <c r="BI140" t="str">
        <f>IF(AND(LEN(MainTbl[[#This Row],[Solv1_text]])&gt;0,LEN(MainTbl[[#This Row],[Solv2_text]])&gt;0,LEN(MainTbl[[#This Row],[Solv3_text]])&gt;0),
   MainTbl[[#This Row],[Solv1_text]]&amp;" + "&amp;MainTbl[[#This Row],[Solv2_text]]&amp;" + "&amp;MainTbl[[#This Row],[Solv3_text]],
IF(AND(LEN(MainTbl[[#This Row],[Solv1_text]])&gt;0,LEN(MainTbl[[#This Row],[Solv2_text]])&gt;0),
   MainTbl[[#This Row],[Solv1_text]]&amp;" + "&amp;MainTbl[[#This Row],[Solv2_text]],
IF(AND(LEN(MainTbl[[#This Row],[Solv1_text]])&gt;0,LEN(MainTbl[[#This Row],[Solv3_text]])&gt;0),
   MainTbl[[#This Row],[Solv1_text]]&amp;" + "&amp;MainTbl[[#This Row],[Solv3_text]],
IF(AND(LEN(MainTbl[[#This Row],[Solv2_text]])&gt;0,LEN(MainTbl[[#This Row],[Solv3_text]])&gt;0),
   MainTbl[[#This Row],[Solv2_text]]&amp;" + "&amp;MainTbl[[#This Row],[Solv3_text]],
IF(LEN(MainTbl[[#This Row],[Solv1_text]])&gt;0,MainTbl[[#This Row],[Solv1_text]],
IF(LEN(MainTbl[[#This Row],[Solv2_text]])&gt;0,MainTbl[[#This Row],[Solv2_text]],MainTbl[[#This Row],[Solv3_text]]))))))</f>
        <v>2,2-Dimetoxi-4-(trifluorometil)-1,3-dioxolano</v>
      </c>
      <c r="BJ140" t="str">
        <f>TRIM(_xlfn.CONCAT(MainTbl[[#This Row],[Salt_text]]," ",MainTbl[[#This Row],[Solvent_text]]))</f>
        <v>1. M LiFSI 2,2-Dimetoxi-4-(trifluorometil)-1,3-dioxolano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"/>
  <sheetViews>
    <sheetView workbookViewId="0">
      <selection activeCell="A4" sqref="A4"/>
    </sheetView>
  </sheetViews>
  <sheetFormatPr baseColWidth="10" defaultRowHeight="15" x14ac:dyDescent="0.25"/>
  <cols>
    <col min="1" max="1" width="55.7109375" bestFit="1" customWidth="1"/>
    <col min="2" max="2" width="27" bestFit="1" customWidth="1"/>
    <col min="10" max="10" width="9.85546875" customWidth="1"/>
    <col min="12" max="12" width="17.28515625" customWidth="1"/>
    <col min="15" max="15" width="7.85546875" customWidth="1"/>
  </cols>
  <sheetData>
    <row r="1" spans="1:15" x14ac:dyDescent="0.25">
      <c r="A1" s="1" t="s">
        <v>163</v>
      </c>
      <c r="B1" s="1" t="s">
        <v>175</v>
      </c>
      <c r="C1" s="1" t="s">
        <v>174</v>
      </c>
      <c r="D1" s="1" t="s">
        <v>173</v>
      </c>
      <c r="E1" s="1" t="s">
        <v>172</v>
      </c>
      <c r="F1" s="1" t="s">
        <v>171</v>
      </c>
      <c r="G1" s="1" t="s">
        <v>170</v>
      </c>
      <c r="H1" s="1" t="s">
        <v>169</v>
      </c>
      <c r="I1" s="1" t="s">
        <v>168</v>
      </c>
      <c r="J1" s="1" t="s">
        <v>167</v>
      </c>
      <c r="K1" s="1" t="s">
        <v>166</v>
      </c>
      <c r="L1" s="1" t="s">
        <v>165</v>
      </c>
      <c r="M1" s="1" t="s">
        <v>164</v>
      </c>
      <c r="N1" s="1" t="s">
        <v>208</v>
      </c>
    </row>
    <row r="2" spans="1:15" x14ac:dyDescent="0.25">
      <c r="A2" s="1" t="s">
        <v>18</v>
      </c>
      <c r="B2" s="1" t="s">
        <v>162</v>
      </c>
      <c r="C2" s="1">
        <v>4</v>
      </c>
      <c r="D2" s="1">
        <v>10</v>
      </c>
      <c r="E2" s="1">
        <v>2</v>
      </c>
      <c r="F2" s="1"/>
      <c r="G2" s="1"/>
      <c r="H2" s="1"/>
      <c r="I2" s="1"/>
      <c r="J2" s="1"/>
      <c r="K2" s="1">
        <f t="shared" ref="K2:K28" si="0">12.01*C2+1.008*D2+16*E2+19*F2+14.01*G2+32.065*H2+30.973*I2</f>
        <v>90.12</v>
      </c>
      <c r="L2" s="1">
        <v>0.86799999999999999</v>
      </c>
      <c r="M2" s="1">
        <f t="shared" ref="M2:M77" si="1">L2/K2*1000</f>
        <v>9.631602308033731</v>
      </c>
      <c r="N2" s="1">
        <f>SolvTbl[[#This Row],[C]]+SolvTbl[[#This Row],[H]]+SolvTbl[[#This Row],[O]]+SolvTbl[[#This Row],[F]]+SolvTbl[[#This Row],[N]]+SolvTbl[[#This Row],[S]]+SolvTbl[[#This Row],[P]]+SolvTbl[[#This Row],[B/Cl/As/Si etc.]]</f>
        <v>16</v>
      </c>
    </row>
    <row r="3" spans="1:15" x14ac:dyDescent="0.25">
      <c r="A3" s="1" t="s">
        <v>160</v>
      </c>
      <c r="B3" s="1" t="s">
        <v>161</v>
      </c>
      <c r="C3" s="1">
        <v>3</v>
      </c>
      <c r="D3" s="1">
        <v>4</v>
      </c>
      <c r="E3" s="1">
        <v>3</v>
      </c>
      <c r="F3" s="1"/>
      <c r="G3" s="1"/>
      <c r="H3" s="1"/>
      <c r="I3" s="1"/>
      <c r="J3" s="1"/>
      <c r="K3" s="1">
        <f t="shared" si="0"/>
        <v>88.061999999999998</v>
      </c>
      <c r="L3" s="1">
        <v>1.32</v>
      </c>
      <c r="M3" s="1">
        <f t="shared" si="1"/>
        <v>14.989439258704097</v>
      </c>
      <c r="N3" s="1">
        <f>SolvTbl[[#This Row],[C]]+SolvTbl[[#This Row],[H]]+SolvTbl[[#This Row],[O]]+SolvTbl[[#This Row],[F]]+SolvTbl[[#This Row],[N]]+SolvTbl[[#This Row],[S]]+SolvTbl[[#This Row],[P]]+SolvTbl[[#This Row],[B/Cl/As/Si etc.]]</f>
        <v>10</v>
      </c>
      <c r="O3" s="1"/>
    </row>
    <row r="4" spans="1:15" x14ac:dyDescent="0.25">
      <c r="A4" s="1" t="s">
        <v>12</v>
      </c>
      <c r="B4" s="1" t="s">
        <v>159</v>
      </c>
      <c r="C4" s="1">
        <v>4</v>
      </c>
      <c r="D4" s="1">
        <v>6</v>
      </c>
      <c r="E4" s="1">
        <v>3</v>
      </c>
      <c r="F4" s="1"/>
      <c r="G4" s="1"/>
      <c r="H4" s="1"/>
      <c r="I4" s="1"/>
      <c r="J4" s="1"/>
      <c r="K4" s="1">
        <f t="shared" si="0"/>
        <v>102.08799999999999</v>
      </c>
      <c r="L4" s="1">
        <v>1.2</v>
      </c>
      <c r="M4" s="1">
        <f t="shared" si="1"/>
        <v>11.754564689287674</v>
      </c>
      <c r="N4" s="1">
        <f>SolvTbl[[#This Row],[C]]+SolvTbl[[#This Row],[H]]+SolvTbl[[#This Row],[O]]+SolvTbl[[#This Row],[F]]+SolvTbl[[#This Row],[N]]+SolvTbl[[#This Row],[S]]+SolvTbl[[#This Row],[P]]+SolvTbl[[#This Row],[B/Cl/As/Si etc.]]</f>
        <v>13</v>
      </c>
      <c r="O4" s="1"/>
    </row>
    <row r="5" spans="1:15" x14ac:dyDescent="0.25">
      <c r="A5" s="1" t="s">
        <v>157</v>
      </c>
      <c r="B5" s="1" t="s">
        <v>158</v>
      </c>
      <c r="C5" s="1">
        <v>5</v>
      </c>
      <c r="D5" s="1">
        <v>10</v>
      </c>
      <c r="E5" s="1">
        <v>3</v>
      </c>
      <c r="F5" s="1"/>
      <c r="G5" s="1"/>
      <c r="H5" s="1"/>
      <c r="I5" s="1"/>
      <c r="J5" s="1"/>
      <c r="K5" s="1">
        <f t="shared" si="0"/>
        <v>118.13</v>
      </c>
      <c r="L5" s="1">
        <v>0.97499999999999998</v>
      </c>
      <c r="M5" s="1">
        <f t="shared" si="1"/>
        <v>8.2536188944383309</v>
      </c>
      <c r="N5" s="1">
        <f>SolvTbl[[#This Row],[C]]+SolvTbl[[#This Row],[H]]+SolvTbl[[#This Row],[O]]+SolvTbl[[#This Row],[F]]+SolvTbl[[#This Row],[N]]+SolvTbl[[#This Row],[S]]+SolvTbl[[#This Row],[P]]+SolvTbl[[#This Row],[B/Cl/As/Si etc.]]</f>
        <v>18</v>
      </c>
      <c r="O5" s="1"/>
    </row>
    <row r="6" spans="1:15" x14ac:dyDescent="0.25">
      <c r="A6" s="1" t="s">
        <v>27</v>
      </c>
      <c r="B6" s="1" t="s">
        <v>156</v>
      </c>
      <c r="C6" s="1">
        <v>3</v>
      </c>
      <c r="D6" s="1">
        <v>6</v>
      </c>
      <c r="E6" s="1">
        <v>3</v>
      </c>
      <c r="F6" s="1"/>
      <c r="G6" s="1"/>
      <c r="H6" s="1"/>
      <c r="I6" s="1"/>
      <c r="J6" s="1"/>
      <c r="K6" s="1">
        <f t="shared" si="0"/>
        <v>90.078000000000003</v>
      </c>
      <c r="L6" s="1">
        <v>1.07</v>
      </c>
      <c r="M6" s="1">
        <f t="shared" si="1"/>
        <v>11.878594107329203</v>
      </c>
      <c r="N6" s="1">
        <f>SolvTbl[[#This Row],[C]]+SolvTbl[[#This Row],[H]]+SolvTbl[[#This Row],[O]]+SolvTbl[[#This Row],[F]]+SolvTbl[[#This Row],[N]]+SolvTbl[[#This Row],[S]]+SolvTbl[[#This Row],[P]]+SolvTbl[[#This Row],[B/Cl/As/Si etc.]]</f>
        <v>12</v>
      </c>
      <c r="O6" s="1"/>
    </row>
    <row r="7" spans="1:15" x14ac:dyDescent="0.25">
      <c r="A7" s="1" t="s">
        <v>154</v>
      </c>
      <c r="B7" s="1" t="s">
        <v>155</v>
      </c>
      <c r="C7" s="1">
        <v>3</v>
      </c>
      <c r="D7" s="1">
        <v>3</v>
      </c>
      <c r="E7" s="1">
        <v>3</v>
      </c>
      <c r="F7" s="1">
        <v>1</v>
      </c>
      <c r="G7" s="1"/>
      <c r="H7" s="1"/>
      <c r="I7" s="1"/>
      <c r="J7" s="1"/>
      <c r="K7" s="1">
        <f t="shared" si="0"/>
        <v>106.054</v>
      </c>
      <c r="L7" s="1">
        <v>1.454</v>
      </c>
      <c r="M7" s="1">
        <f t="shared" si="1"/>
        <v>13.709996794086031</v>
      </c>
      <c r="N7" s="1">
        <f>SolvTbl[[#This Row],[C]]+SolvTbl[[#This Row],[H]]+SolvTbl[[#This Row],[O]]+SolvTbl[[#This Row],[F]]+SolvTbl[[#This Row],[N]]+SolvTbl[[#This Row],[S]]+SolvTbl[[#This Row],[P]]+SolvTbl[[#This Row],[B/Cl/As/Si etc.]]</f>
        <v>10</v>
      </c>
      <c r="O7" s="1"/>
    </row>
    <row r="8" spans="1:15" x14ac:dyDescent="0.25">
      <c r="A8" s="1" t="s">
        <v>36</v>
      </c>
      <c r="B8" s="1" t="s">
        <v>153</v>
      </c>
      <c r="C8" s="1">
        <v>6</v>
      </c>
      <c r="D8" s="1">
        <v>10</v>
      </c>
      <c r="E8" s="1">
        <v>2</v>
      </c>
      <c r="F8" s="1">
        <v>4</v>
      </c>
      <c r="G8" s="1"/>
      <c r="H8" s="1"/>
      <c r="I8" s="1"/>
      <c r="J8" s="1"/>
      <c r="K8" s="1">
        <f t="shared" si="0"/>
        <v>190.14</v>
      </c>
      <c r="L8" s="1">
        <v>1.21</v>
      </c>
      <c r="M8" s="1">
        <f t="shared" si="1"/>
        <v>6.3637319869569797</v>
      </c>
      <c r="N8" s="1">
        <f>SolvTbl[[#This Row],[C]]+SolvTbl[[#This Row],[H]]+SolvTbl[[#This Row],[O]]+SolvTbl[[#This Row],[F]]+SolvTbl[[#This Row],[N]]+SolvTbl[[#This Row],[S]]+SolvTbl[[#This Row],[P]]+SolvTbl[[#This Row],[B/Cl/As/Si etc.]]</f>
        <v>22</v>
      </c>
      <c r="O8" s="1"/>
    </row>
    <row r="9" spans="1:15" x14ac:dyDescent="0.25">
      <c r="A9" s="1" t="s">
        <v>151</v>
      </c>
      <c r="B9" s="1" t="s">
        <v>152</v>
      </c>
      <c r="C9" s="1">
        <v>4</v>
      </c>
      <c r="D9" s="1">
        <v>4</v>
      </c>
      <c r="E9" s="1">
        <v>1</v>
      </c>
      <c r="F9" s="1">
        <v>6</v>
      </c>
      <c r="G9" s="1"/>
      <c r="H9" s="1"/>
      <c r="I9" s="1"/>
      <c r="J9" s="1"/>
      <c r="K9" s="1">
        <f t="shared" si="0"/>
        <v>182.072</v>
      </c>
      <c r="L9" s="1">
        <v>1.4039999999999999</v>
      </c>
      <c r="M9" s="1">
        <f t="shared" si="1"/>
        <v>7.7112351157783721</v>
      </c>
      <c r="N9" s="1">
        <f>SolvTbl[[#This Row],[C]]+SolvTbl[[#This Row],[H]]+SolvTbl[[#This Row],[O]]+SolvTbl[[#This Row],[F]]+SolvTbl[[#This Row],[N]]+SolvTbl[[#This Row],[S]]+SolvTbl[[#This Row],[P]]+SolvTbl[[#This Row],[B/Cl/As/Si etc.]]</f>
        <v>15</v>
      </c>
      <c r="O9" s="1"/>
    </row>
    <row r="10" spans="1:15" x14ac:dyDescent="0.25">
      <c r="A10" s="1" t="s">
        <v>149</v>
      </c>
      <c r="B10" s="1" t="s">
        <v>150</v>
      </c>
      <c r="C10" s="1">
        <v>4</v>
      </c>
      <c r="D10" s="1">
        <v>5</v>
      </c>
      <c r="E10" s="1">
        <v>3</v>
      </c>
      <c r="F10" s="1">
        <v>3</v>
      </c>
      <c r="G10" s="1"/>
      <c r="H10" s="1"/>
      <c r="I10" s="1"/>
      <c r="J10" s="1"/>
      <c r="K10" s="1">
        <f t="shared" si="0"/>
        <v>158.07999999999998</v>
      </c>
      <c r="L10" s="1">
        <v>1.3</v>
      </c>
      <c r="M10" s="1">
        <f t="shared" si="1"/>
        <v>8.2236842105263168</v>
      </c>
      <c r="N10" s="1">
        <f>SolvTbl[[#This Row],[C]]+SolvTbl[[#This Row],[H]]+SolvTbl[[#This Row],[O]]+SolvTbl[[#This Row],[F]]+SolvTbl[[#This Row],[N]]+SolvTbl[[#This Row],[S]]+SolvTbl[[#This Row],[P]]+SolvTbl[[#This Row],[B/Cl/As/Si etc.]]</f>
        <v>15</v>
      </c>
      <c r="O10" s="1"/>
    </row>
    <row r="11" spans="1:15" x14ac:dyDescent="0.25">
      <c r="A11" s="1" t="s">
        <v>147</v>
      </c>
      <c r="B11" s="1" t="s">
        <v>148</v>
      </c>
      <c r="C11" s="1">
        <v>4</v>
      </c>
      <c r="D11" s="1">
        <v>3</v>
      </c>
      <c r="E11" s="1">
        <v>1</v>
      </c>
      <c r="F11" s="1">
        <v>7</v>
      </c>
      <c r="G11" s="1"/>
      <c r="H11" s="1"/>
      <c r="I11" s="1"/>
      <c r="J11" s="1"/>
      <c r="K11" s="1">
        <f t="shared" si="0"/>
        <v>200.06399999999999</v>
      </c>
      <c r="L11" s="1">
        <v>1.4870000000000001</v>
      </c>
      <c r="M11" s="1">
        <f t="shared" si="1"/>
        <v>7.4326215611004489</v>
      </c>
      <c r="N11" s="1">
        <f>SolvTbl[[#This Row],[C]]+SolvTbl[[#This Row],[H]]+SolvTbl[[#This Row],[O]]+SolvTbl[[#This Row],[F]]+SolvTbl[[#This Row],[N]]+SolvTbl[[#This Row],[S]]+SolvTbl[[#This Row],[P]]+SolvTbl[[#This Row],[B/Cl/As/Si etc.]]</f>
        <v>15</v>
      </c>
      <c r="O11" s="1"/>
    </row>
    <row r="12" spans="1:15" x14ac:dyDescent="0.25">
      <c r="A12" s="1" t="s">
        <v>51</v>
      </c>
      <c r="B12" s="1" t="s">
        <v>146</v>
      </c>
      <c r="C12" s="1">
        <v>5</v>
      </c>
      <c r="D12" s="1">
        <v>4</v>
      </c>
      <c r="E12" s="1">
        <v>1</v>
      </c>
      <c r="F12" s="1">
        <v>8</v>
      </c>
      <c r="G12" s="1"/>
      <c r="H12" s="1"/>
      <c r="I12" s="1"/>
      <c r="J12" s="1"/>
      <c r="K12" s="1">
        <f t="shared" si="0"/>
        <v>232.08199999999999</v>
      </c>
      <c r="L12" s="1">
        <v>1.5323</v>
      </c>
      <c r="M12" s="1">
        <f t="shared" si="1"/>
        <v>6.602407769667618</v>
      </c>
      <c r="N12" s="1">
        <f>SolvTbl[[#This Row],[C]]+SolvTbl[[#This Row],[H]]+SolvTbl[[#This Row],[O]]+SolvTbl[[#This Row],[F]]+SolvTbl[[#This Row],[N]]+SolvTbl[[#This Row],[S]]+SolvTbl[[#This Row],[P]]+SolvTbl[[#This Row],[B/Cl/As/Si etc.]]</f>
        <v>18</v>
      </c>
      <c r="O12" s="1"/>
    </row>
    <row r="13" spans="1:15" x14ac:dyDescent="0.25">
      <c r="A13" s="1" t="s">
        <v>144</v>
      </c>
      <c r="B13" s="1" t="s">
        <v>145</v>
      </c>
      <c r="C13" s="1">
        <v>3</v>
      </c>
      <c r="D13" s="1">
        <v>6</v>
      </c>
      <c r="E13" s="1">
        <v>2</v>
      </c>
      <c r="F13" s="1"/>
      <c r="G13" s="1"/>
      <c r="H13" s="1"/>
      <c r="I13" s="1"/>
      <c r="J13" s="1"/>
      <c r="K13" s="1">
        <f t="shared" si="0"/>
        <v>74.078000000000003</v>
      </c>
      <c r="L13" s="1">
        <v>1.06</v>
      </c>
      <c r="M13" s="1">
        <f t="shared" si="1"/>
        <v>14.309241610194659</v>
      </c>
      <c r="N13" s="1">
        <f>SolvTbl[[#This Row],[C]]+SolvTbl[[#This Row],[H]]+SolvTbl[[#This Row],[O]]+SolvTbl[[#This Row],[F]]+SolvTbl[[#This Row],[N]]+SolvTbl[[#This Row],[S]]+SolvTbl[[#This Row],[P]]+SolvTbl[[#This Row],[B/Cl/As/Si etc.]]</f>
        <v>11</v>
      </c>
      <c r="O13" s="1"/>
    </row>
    <row r="14" spans="1:15" x14ac:dyDescent="0.25">
      <c r="A14" s="1" t="s">
        <v>17</v>
      </c>
      <c r="B14" s="1" t="s">
        <v>143</v>
      </c>
      <c r="C14" s="1">
        <v>4</v>
      </c>
      <c r="D14" s="1">
        <v>10</v>
      </c>
      <c r="E14" s="1">
        <v>1</v>
      </c>
      <c r="F14" s="1"/>
      <c r="G14" s="1"/>
      <c r="H14" s="1"/>
      <c r="I14" s="1"/>
      <c r="J14" s="1"/>
      <c r="K14" s="1">
        <f t="shared" si="0"/>
        <v>74.12</v>
      </c>
      <c r="L14" s="1">
        <v>0.71340000000000003</v>
      </c>
      <c r="M14" s="1">
        <f t="shared" si="1"/>
        <v>9.6249325418240694</v>
      </c>
      <c r="N14" s="1">
        <f>SolvTbl[[#This Row],[C]]+SolvTbl[[#This Row],[H]]+SolvTbl[[#This Row],[O]]+SolvTbl[[#This Row],[F]]+SolvTbl[[#This Row],[N]]+SolvTbl[[#This Row],[S]]+SolvTbl[[#This Row],[P]]+SolvTbl[[#This Row],[B/Cl/As/Si etc.]]</f>
        <v>15</v>
      </c>
      <c r="O14" s="1"/>
    </row>
    <row r="15" spans="1:15" x14ac:dyDescent="0.25">
      <c r="A15" s="1" t="s">
        <v>141</v>
      </c>
      <c r="B15" s="1" t="s">
        <v>142</v>
      </c>
      <c r="C15" s="1">
        <v>1</v>
      </c>
      <c r="D15" s="1">
        <v>3</v>
      </c>
      <c r="E15" s="1">
        <v>0</v>
      </c>
      <c r="F15" s="1">
        <v>1</v>
      </c>
      <c r="G15" s="1"/>
      <c r="H15" s="1"/>
      <c r="I15" s="1"/>
      <c r="J15" s="1"/>
      <c r="K15" s="1">
        <f t="shared" si="0"/>
        <v>34.033999999999999</v>
      </c>
      <c r="L15" s="1">
        <v>0.55700000000000005</v>
      </c>
      <c r="M15" s="1">
        <f t="shared" si="1"/>
        <v>16.365986954222247</v>
      </c>
      <c r="N15" s="1">
        <f>SolvTbl[[#This Row],[C]]+SolvTbl[[#This Row],[H]]+SolvTbl[[#This Row],[O]]+SolvTbl[[#This Row],[F]]+SolvTbl[[#This Row],[N]]+SolvTbl[[#This Row],[S]]+SolvTbl[[#This Row],[P]]+SolvTbl[[#This Row],[B/Cl/As/Si etc.]]</f>
        <v>5</v>
      </c>
      <c r="O15" s="1"/>
    </row>
    <row r="16" spans="1:15" x14ac:dyDescent="0.25">
      <c r="A16" s="1" t="s">
        <v>139</v>
      </c>
      <c r="B16" s="1" t="s">
        <v>140</v>
      </c>
      <c r="C16" s="1">
        <v>6</v>
      </c>
      <c r="D16" s="1">
        <v>14</v>
      </c>
      <c r="E16" s="1">
        <v>2</v>
      </c>
      <c r="F16" s="1">
        <v>0</v>
      </c>
      <c r="G16" s="1"/>
      <c r="H16" s="1"/>
      <c r="I16" s="1"/>
      <c r="J16" s="1"/>
      <c r="K16" s="1">
        <f t="shared" si="0"/>
        <v>118.172</v>
      </c>
      <c r="L16" s="1">
        <v>0.85599999999999998</v>
      </c>
      <c r="M16" s="1">
        <f t="shared" si="1"/>
        <v>7.2436787056155429</v>
      </c>
      <c r="N16" s="1">
        <f>SolvTbl[[#This Row],[C]]+SolvTbl[[#This Row],[H]]+SolvTbl[[#This Row],[O]]+SolvTbl[[#This Row],[F]]+SolvTbl[[#This Row],[N]]+SolvTbl[[#This Row],[S]]+SolvTbl[[#This Row],[P]]+SolvTbl[[#This Row],[B/Cl/As/Si etc.]]</f>
        <v>22</v>
      </c>
      <c r="O16" s="1"/>
    </row>
    <row r="17" spans="1:15" x14ac:dyDescent="0.25">
      <c r="A17" s="1" t="s">
        <v>73</v>
      </c>
      <c r="B17" s="1" t="s">
        <v>138</v>
      </c>
      <c r="C17" s="1">
        <v>4</v>
      </c>
      <c r="D17" s="1">
        <v>8</v>
      </c>
      <c r="E17" s="1">
        <v>2</v>
      </c>
      <c r="F17" s="1"/>
      <c r="G17" s="1"/>
      <c r="H17" s="1">
        <v>1</v>
      </c>
      <c r="I17" s="1"/>
      <c r="J17" s="1"/>
      <c r="K17" s="1">
        <f t="shared" si="0"/>
        <v>120.169</v>
      </c>
      <c r="L17" s="1">
        <v>1.26</v>
      </c>
      <c r="M17" s="1">
        <f t="shared" si="1"/>
        <v>10.485233296440846</v>
      </c>
      <c r="N17" s="1">
        <f>SolvTbl[[#This Row],[C]]+SolvTbl[[#This Row],[H]]+SolvTbl[[#This Row],[O]]+SolvTbl[[#This Row],[F]]+SolvTbl[[#This Row],[N]]+SolvTbl[[#This Row],[S]]+SolvTbl[[#This Row],[P]]+SolvTbl[[#This Row],[B/Cl/As/Si etc.]]</f>
        <v>15</v>
      </c>
      <c r="O17" s="1"/>
    </row>
    <row r="18" spans="1:15" x14ac:dyDescent="0.25">
      <c r="A18" s="1" t="s">
        <v>136</v>
      </c>
      <c r="B18" s="1" t="s">
        <v>137</v>
      </c>
      <c r="C18" s="1">
        <v>7</v>
      </c>
      <c r="D18" s="1">
        <v>7</v>
      </c>
      <c r="E18" s="1">
        <v>3</v>
      </c>
      <c r="F18" s="1">
        <v>9</v>
      </c>
      <c r="G18" s="1"/>
      <c r="H18" s="1"/>
      <c r="I18" s="1"/>
      <c r="J18" s="1"/>
      <c r="K18" s="1">
        <f t="shared" si="0"/>
        <v>310.12599999999998</v>
      </c>
      <c r="L18" s="1">
        <v>1.4570000000000001</v>
      </c>
      <c r="M18" s="1">
        <f t="shared" si="1"/>
        <v>4.6980904535575867</v>
      </c>
      <c r="N18" s="1">
        <f>SolvTbl[[#This Row],[C]]+SolvTbl[[#This Row],[H]]+SolvTbl[[#This Row],[O]]+SolvTbl[[#This Row],[F]]+SolvTbl[[#This Row],[N]]+SolvTbl[[#This Row],[S]]+SolvTbl[[#This Row],[P]]+SolvTbl[[#This Row],[B/Cl/As/Si etc.]]</f>
        <v>26</v>
      </c>
      <c r="O18" s="1"/>
    </row>
    <row r="19" spans="1:15" x14ac:dyDescent="0.25">
      <c r="A19" s="1" t="s">
        <v>46</v>
      </c>
      <c r="B19" s="1" t="s">
        <v>135</v>
      </c>
      <c r="C19" s="1">
        <v>6</v>
      </c>
      <c r="D19" s="1">
        <v>15</v>
      </c>
      <c r="E19" s="1">
        <v>4</v>
      </c>
      <c r="F19" s="1"/>
      <c r="G19" s="1"/>
      <c r="H19" s="1"/>
      <c r="I19" s="1">
        <v>1</v>
      </c>
      <c r="J19" s="1"/>
      <c r="K19" s="1">
        <f t="shared" si="0"/>
        <v>182.15300000000002</v>
      </c>
      <c r="L19" s="1">
        <v>1.0720000000000001</v>
      </c>
      <c r="M19" s="1">
        <f t="shared" si="1"/>
        <v>5.8851624733054084</v>
      </c>
      <c r="N19" s="1">
        <f>SolvTbl[[#This Row],[C]]+SolvTbl[[#This Row],[H]]+SolvTbl[[#This Row],[O]]+SolvTbl[[#This Row],[F]]+SolvTbl[[#This Row],[N]]+SolvTbl[[#This Row],[S]]+SolvTbl[[#This Row],[P]]+SolvTbl[[#This Row],[B/Cl/As/Si etc.]]</f>
        <v>26</v>
      </c>
      <c r="O19" s="1"/>
    </row>
    <row r="20" spans="1:15" x14ac:dyDescent="0.25">
      <c r="A20" s="1" t="s">
        <v>38</v>
      </c>
      <c r="B20" s="1" t="s">
        <v>134</v>
      </c>
      <c r="C20" s="1">
        <v>4</v>
      </c>
      <c r="D20" s="1">
        <v>8</v>
      </c>
      <c r="E20" s="1">
        <v>3</v>
      </c>
      <c r="F20" s="1"/>
      <c r="G20" s="1"/>
      <c r="H20" s="1"/>
      <c r="I20" s="1"/>
      <c r="J20" s="1"/>
      <c r="K20" s="1">
        <f t="shared" si="0"/>
        <v>104.104</v>
      </c>
      <c r="L20" s="1">
        <v>1.006</v>
      </c>
      <c r="M20" s="1">
        <f t="shared" si="1"/>
        <v>9.6634135095673557</v>
      </c>
      <c r="N20" s="1">
        <f>SolvTbl[[#This Row],[C]]+SolvTbl[[#This Row],[H]]+SolvTbl[[#This Row],[O]]+SolvTbl[[#This Row],[F]]+SolvTbl[[#This Row],[N]]+SolvTbl[[#This Row],[S]]+SolvTbl[[#This Row],[P]]+SolvTbl[[#This Row],[B/Cl/As/Si etc.]]</f>
        <v>15</v>
      </c>
      <c r="O20" s="1"/>
    </row>
    <row r="21" spans="1:15" x14ac:dyDescent="0.25">
      <c r="A21" s="1" t="s">
        <v>132</v>
      </c>
      <c r="B21" s="1" t="s">
        <v>133</v>
      </c>
      <c r="C21" s="1">
        <v>3</v>
      </c>
      <c r="D21" s="1">
        <v>2</v>
      </c>
      <c r="E21" s="1">
        <v>3</v>
      </c>
      <c r="F21" s="1"/>
      <c r="G21" s="1"/>
      <c r="H21" s="1"/>
      <c r="I21" s="1"/>
      <c r="J21" s="1"/>
      <c r="K21" s="1">
        <f t="shared" si="0"/>
        <v>86.045999999999992</v>
      </c>
      <c r="L21" s="1">
        <v>1.35</v>
      </c>
      <c r="M21" s="1">
        <f t="shared" si="1"/>
        <v>15.689282476814729</v>
      </c>
      <c r="N21" s="1">
        <f>SolvTbl[[#This Row],[C]]+SolvTbl[[#This Row],[H]]+SolvTbl[[#This Row],[O]]+SolvTbl[[#This Row],[F]]+SolvTbl[[#This Row],[N]]+SolvTbl[[#This Row],[S]]+SolvTbl[[#This Row],[P]]+SolvTbl[[#This Row],[B/Cl/As/Si etc.]]</f>
        <v>8</v>
      </c>
      <c r="O21" s="1"/>
    </row>
    <row r="22" spans="1:15" x14ac:dyDescent="0.25">
      <c r="A22" s="1" t="s">
        <v>130</v>
      </c>
      <c r="B22" s="1" t="s">
        <v>131</v>
      </c>
      <c r="C22" s="1">
        <v>4</v>
      </c>
      <c r="D22" s="1">
        <v>6</v>
      </c>
      <c r="E22" s="1">
        <v>2</v>
      </c>
      <c r="F22" s="1"/>
      <c r="G22" s="1"/>
      <c r="H22" s="1"/>
      <c r="I22" s="1"/>
      <c r="J22" s="1"/>
      <c r="K22" s="1">
        <f t="shared" si="0"/>
        <v>86.087999999999994</v>
      </c>
      <c r="L22" s="1">
        <v>1.1295999999999999</v>
      </c>
      <c r="M22" s="1">
        <f t="shared" si="1"/>
        <v>13.121457113651147</v>
      </c>
      <c r="N22" s="1">
        <f>SolvTbl[[#This Row],[C]]+SolvTbl[[#This Row],[H]]+SolvTbl[[#This Row],[O]]+SolvTbl[[#This Row],[F]]+SolvTbl[[#This Row],[N]]+SolvTbl[[#This Row],[S]]+SolvTbl[[#This Row],[P]]+SolvTbl[[#This Row],[B/Cl/As/Si etc.]]</f>
        <v>12</v>
      </c>
      <c r="O22" s="1"/>
    </row>
    <row r="23" spans="1:15" x14ac:dyDescent="0.25">
      <c r="A23" s="1" t="s">
        <v>128</v>
      </c>
      <c r="B23" s="1" t="s">
        <v>129</v>
      </c>
      <c r="C23" s="1">
        <v>4</v>
      </c>
      <c r="D23" s="1">
        <v>4</v>
      </c>
      <c r="E23" s="1">
        <v>1</v>
      </c>
      <c r="F23" s="1">
        <v>6</v>
      </c>
      <c r="G23" s="1"/>
      <c r="H23" s="1"/>
      <c r="I23" s="1"/>
      <c r="J23" s="1"/>
      <c r="K23" s="1">
        <f t="shared" si="0"/>
        <v>182.072</v>
      </c>
      <c r="L23" s="1">
        <v>1.38</v>
      </c>
      <c r="M23" s="1">
        <f t="shared" si="1"/>
        <v>7.5794191308932728</v>
      </c>
      <c r="N23" s="1">
        <f>SolvTbl[[#This Row],[C]]+SolvTbl[[#This Row],[H]]+SolvTbl[[#This Row],[O]]+SolvTbl[[#This Row],[F]]+SolvTbl[[#This Row],[N]]+SolvTbl[[#This Row],[S]]+SolvTbl[[#This Row],[P]]+SolvTbl[[#This Row],[B/Cl/As/Si etc.]]</f>
        <v>15</v>
      </c>
      <c r="O23" s="1"/>
    </row>
    <row r="24" spans="1:15" x14ac:dyDescent="0.25">
      <c r="A24" s="1" t="s">
        <v>126</v>
      </c>
      <c r="B24" s="1" t="s">
        <v>127</v>
      </c>
      <c r="C24" s="1">
        <v>2</v>
      </c>
      <c r="D24" s="1">
        <v>6</v>
      </c>
      <c r="E24" s="1">
        <v>1</v>
      </c>
      <c r="F24" s="1"/>
      <c r="G24" s="1"/>
      <c r="H24" s="1">
        <v>1</v>
      </c>
      <c r="I24" s="1"/>
      <c r="J24" s="1"/>
      <c r="K24" s="1">
        <f t="shared" si="0"/>
        <v>78.132999999999996</v>
      </c>
      <c r="L24" s="1">
        <v>1.1000000000000001</v>
      </c>
      <c r="M24" s="1">
        <f t="shared" si="1"/>
        <v>14.078558355624386</v>
      </c>
      <c r="N24" s="1">
        <f>SolvTbl[[#This Row],[C]]+SolvTbl[[#This Row],[H]]+SolvTbl[[#This Row],[O]]+SolvTbl[[#This Row],[F]]+SolvTbl[[#This Row],[N]]+SolvTbl[[#This Row],[S]]+SolvTbl[[#This Row],[P]]+SolvTbl[[#This Row],[B/Cl/As/Si etc.]]</f>
        <v>10</v>
      </c>
      <c r="O24" s="1"/>
    </row>
    <row r="25" spans="1:15" x14ac:dyDescent="0.25">
      <c r="A25" s="1" t="s">
        <v>35</v>
      </c>
      <c r="B25" s="1" t="s">
        <v>125</v>
      </c>
      <c r="C25" s="1">
        <v>2</v>
      </c>
      <c r="D25" s="1">
        <v>3</v>
      </c>
      <c r="E25" s="1"/>
      <c r="F25" s="1"/>
      <c r="G25" s="1">
        <v>1</v>
      </c>
      <c r="H25" s="1"/>
      <c r="I25" s="1"/>
      <c r="J25" s="1"/>
      <c r="K25" s="1">
        <f t="shared" si="0"/>
        <v>41.054000000000002</v>
      </c>
      <c r="L25" s="1">
        <v>0.78600000000000003</v>
      </c>
      <c r="M25" s="1">
        <f t="shared" si="1"/>
        <v>19.145515662298436</v>
      </c>
      <c r="N25" s="1">
        <f>SolvTbl[[#This Row],[C]]+SolvTbl[[#This Row],[H]]+SolvTbl[[#This Row],[O]]+SolvTbl[[#This Row],[F]]+SolvTbl[[#This Row],[N]]+SolvTbl[[#This Row],[S]]+SolvTbl[[#This Row],[P]]+SolvTbl[[#This Row],[B/Cl/As/Si etc.]]</f>
        <v>6</v>
      </c>
      <c r="O25" s="1"/>
    </row>
    <row r="26" spans="1:15" x14ac:dyDescent="0.25">
      <c r="A26" s="1" t="s">
        <v>14</v>
      </c>
      <c r="B26" s="1" t="s">
        <v>124</v>
      </c>
      <c r="C26" s="1">
        <v>4</v>
      </c>
      <c r="D26" s="1">
        <v>8</v>
      </c>
      <c r="E26" s="1">
        <v>1</v>
      </c>
      <c r="F26" s="1"/>
      <c r="G26" s="1"/>
      <c r="H26" s="1"/>
      <c r="I26" s="1"/>
      <c r="J26" s="1"/>
      <c r="K26" s="1">
        <f t="shared" si="0"/>
        <v>72.103999999999999</v>
      </c>
      <c r="L26" s="1">
        <v>0.88800000000000001</v>
      </c>
      <c r="M26" s="1">
        <f t="shared" si="1"/>
        <v>12.315544213913237</v>
      </c>
      <c r="N26" s="1">
        <f>SolvTbl[[#This Row],[C]]+SolvTbl[[#This Row],[H]]+SolvTbl[[#This Row],[O]]+SolvTbl[[#This Row],[F]]+SolvTbl[[#This Row],[N]]+SolvTbl[[#This Row],[S]]+SolvTbl[[#This Row],[P]]+SolvTbl[[#This Row],[B/Cl/As/Si etc.]]</f>
        <v>13</v>
      </c>
      <c r="O26" s="1"/>
    </row>
    <row r="27" spans="1:15" x14ac:dyDescent="0.25">
      <c r="A27" s="1" t="s">
        <v>122</v>
      </c>
      <c r="B27" s="1" t="s">
        <v>123</v>
      </c>
      <c r="C27" s="1">
        <v>5</v>
      </c>
      <c r="D27" s="1">
        <v>10</v>
      </c>
      <c r="E27" s="1">
        <v>1</v>
      </c>
      <c r="F27" s="1"/>
      <c r="G27" s="1"/>
      <c r="H27" s="1"/>
      <c r="I27" s="1"/>
      <c r="J27" s="1"/>
      <c r="K27" s="1">
        <f t="shared" si="0"/>
        <v>86.13</v>
      </c>
      <c r="L27" s="1">
        <v>0.85399999999999998</v>
      </c>
      <c r="M27" s="1">
        <f t="shared" si="1"/>
        <v>9.9152443980030203</v>
      </c>
      <c r="N27" s="1">
        <f>SolvTbl[[#This Row],[C]]+SolvTbl[[#This Row],[H]]+SolvTbl[[#This Row],[O]]+SolvTbl[[#This Row],[F]]+SolvTbl[[#This Row],[N]]+SolvTbl[[#This Row],[S]]+SolvTbl[[#This Row],[P]]+SolvTbl[[#This Row],[B/Cl/As/Si etc.]]</f>
        <v>16</v>
      </c>
      <c r="O27" s="1"/>
    </row>
    <row r="28" spans="1:15" x14ac:dyDescent="0.25">
      <c r="A28" s="1" t="s">
        <v>120</v>
      </c>
      <c r="B28" s="1" t="s">
        <v>121</v>
      </c>
      <c r="C28" s="1">
        <v>4</v>
      </c>
      <c r="D28" s="1">
        <v>8</v>
      </c>
      <c r="E28" s="1">
        <v>2</v>
      </c>
      <c r="F28" s="1"/>
      <c r="G28" s="1"/>
      <c r="H28" s="1"/>
      <c r="I28" s="1"/>
      <c r="J28" s="1"/>
      <c r="K28" s="1">
        <f t="shared" si="0"/>
        <v>88.103999999999999</v>
      </c>
      <c r="L28" s="1">
        <v>0.90200000000000002</v>
      </c>
      <c r="M28" s="1">
        <f t="shared" si="1"/>
        <v>10.237900662852992</v>
      </c>
      <c r="N28" s="1">
        <f>SolvTbl[[#This Row],[C]]+SolvTbl[[#This Row],[H]]+SolvTbl[[#This Row],[O]]+SolvTbl[[#This Row],[F]]+SolvTbl[[#This Row],[N]]+SolvTbl[[#This Row],[S]]+SolvTbl[[#This Row],[P]]+SolvTbl[[#This Row],[B/Cl/As/Si etc.]]</f>
        <v>14</v>
      </c>
      <c r="O28" s="1"/>
    </row>
    <row r="29" spans="1:15" x14ac:dyDescent="0.25">
      <c r="A29" s="1" t="s">
        <v>118</v>
      </c>
      <c r="B29" s="1" t="s">
        <v>119</v>
      </c>
      <c r="C29" s="1">
        <v>1</v>
      </c>
      <c r="D29" s="1">
        <v>2</v>
      </c>
      <c r="E29" s="1"/>
      <c r="F29" s="1"/>
      <c r="G29" s="1"/>
      <c r="H29" s="1"/>
      <c r="I29" s="1"/>
      <c r="J29" s="1">
        <v>2</v>
      </c>
      <c r="K29" s="1">
        <f t="shared" ref="K29:K35" si="2">12.01*C29+1.008*D29+16*E29+19*F29+14.01*G29+32.065*H29+30.973*I29+35.453*J29</f>
        <v>84.932000000000002</v>
      </c>
      <c r="L29" s="1">
        <v>1.33</v>
      </c>
      <c r="M29" s="1">
        <f t="shared" si="1"/>
        <v>15.659586492723591</v>
      </c>
      <c r="N29" s="1">
        <f>SolvTbl[[#This Row],[C]]+SolvTbl[[#This Row],[H]]+SolvTbl[[#This Row],[O]]+SolvTbl[[#This Row],[F]]+SolvTbl[[#This Row],[N]]+SolvTbl[[#This Row],[S]]+SolvTbl[[#This Row],[P]]+SolvTbl[[#This Row],[B/Cl/As/Si etc.]]</f>
        <v>5</v>
      </c>
      <c r="O29" s="1"/>
    </row>
    <row r="30" spans="1:15" x14ac:dyDescent="0.25">
      <c r="A30" s="1" t="s">
        <v>116</v>
      </c>
      <c r="B30" s="1" t="s">
        <v>117</v>
      </c>
      <c r="C30" s="1">
        <v>5</v>
      </c>
      <c r="D30" s="1">
        <v>7</v>
      </c>
      <c r="E30" s="1">
        <v>3</v>
      </c>
      <c r="F30" s="1">
        <v>3</v>
      </c>
      <c r="G30" s="1"/>
      <c r="H30" s="1"/>
      <c r="I30" s="1"/>
      <c r="J30" s="1"/>
      <c r="K30" s="1">
        <f t="shared" si="2"/>
        <v>172.10599999999999</v>
      </c>
      <c r="L30" s="1">
        <v>1.2529999999999999</v>
      </c>
      <c r="M30" s="1">
        <f t="shared" si="1"/>
        <v>7.2803969646613131</v>
      </c>
      <c r="N30" s="1">
        <f>SolvTbl[[#This Row],[C]]+SolvTbl[[#This Row],[H]]+SolvTbl[[#This Row],[O]]+SolvTbl[[#This Row],[F]]+SolvTbl[[#This Row],[N]]+SolvTbl[[#This Row],[S]]+SolvTbl[[#This Row],[P]]+SolvTbl[[#This Row],[B/Cl/As/Si etc.]]</f>
        <v>18</v>
      </c>
      <c r="O30" s="1"/>
    </row>
    <row r="31" spans="1:15" x14ac:dyDescent="0.25">
      <c r="A31" s="1" t="s">
        <v>114</v>
      </c>
      <c r="B31" s="1" t="s">
        <v>115</v>
      </c>
      <c r="C31" s="1">
        <v>4</v>
      </c>
      <c r="D31" s="1">
        <v>6</v>
      </c>
      <c r="E31" s="1">
        <v>1</v>
      </c>
      <c r="F31" s="1">
        <v>3</v>
      </c>
      <c r="G31" s="1">
        <v>1</v>
      </c>
      <c r="H31" s="1"/>
      <c r="I31" s="1"/>
      <c r="J31" s="1"/>
      <c r="K31" s="1">
        <f t="shared" si="2"/>
        <v>141.09799999999998</v>
      </c>
      <c r="L31" s="1">
        <v>1.26</v>
      </c>
      <c r="M31" s="1">
        <f t="shared" si="1"/>
        <v>8.9299635714184475</v>
      </c>
      <c r="N31" s="1">
        <f>SolvTbl[[#This Row],[C]]+SolvTbl[[#This Row],[H]]+SolvTbl[[#This Row],[O]]+SolvTbl[[#This Row],[F]]+SolvTbl[[#This Row],[N]]+SolvTbl[[#This Row],[S]]+SolvTbl[[#This Row],[P]]+SolvTbl[[#This Row],[B/Cl/As/Si etc.]]</f>
        <v>15</v>
      </c>
      <c r="O31" s="1"/>
    </row>
    <row r="32" spans="1:15" x14ac:dyDescent="0.25">
      <c r="A32" s="1" t="s">
        <v>49</v>
      </c>
      <c r="B32" s="1" t="s">
        <v>113</v>
      </c>
      <c r="C32" s="1">
        <v>10</v>
      </c>
      <c r="D32" s="1">
        <v>22</v>
      </c>
      <c r="E32" s="1">
        <v>5</v>
      </c>
      <c r="F32" s="1"/>
      <c r="G32" s="1"/>
      <c r="H32" s="1"/>
      <c r="I32" s="1"/>
      <c r="J32" s="1"/>
      <c r="K32" s="1">
        <f t="shared" si="2"/>
        <v>222.27600000000001</v>
      </c>
      <c r="L32" s="1">
        <v>1.0089999999999999</v>
      </c>
      <c r="M32" s="1">
        <f t="shared" si="1"/>
        <v>4.5394014648455068</v>
      </c>
      <c r="N32" s="1">
        <f>SolvTbl[[#This Row],[C]]+SolvTbl[[#This Row],[H]]+SolvTbl[[#This Row],[O]]+SolvTbl[[#This Row],[F]]+SolvTbl[[#This Row],[N]]+SolvTbl[[#This Row],[S]]+SolvTbl[[#This Row],[P]]+SolvTbl[[#This Row],[B/Cl/As/Si etc.]]</f>
        <v>37</v>
      </c>
      <c r="O32" s="1"/>
    </row>
    <row r="33" spans="1:15" x14ac:dyDescent="0.25">
      <c r="A33" s="1" t="s">
        <v>111</v>
      </c>
      <c r="B33" s="1" t="s">
        <v>112</v>
      </c>
      <c r="C33" s="1">
        <v>16</v>
      </c>
      <c r="D33" s="1">
        <v>26</v>
      </c>
      <c r="E33" s="1">
        <v>8</v>
      </c>
      <c r="F33" s="1">
        <v>8</v>
      </c>
      <c r="G33" s="1"/>
      <c r="H33" s="1"/>
      <c r="I33" s="1"/>
      <c r="J33" s="1"/>
      <c r="K33" s="1">
        <f t="shared" si="2"/>
        <v>498.36799999999999</v>
      </c>
      <c r="L33" s="1">
        <v>1.21</v>
      </c>
      <c r="M33" s="1">
        <f t="shared" si="1"/>
        <v>2.4279247463721587</v>
      </c>
      <c r="N33" s="1">
        <f>SolvTbl[[#This Row],[C]]+SolvTbl[[#This Row],[H]]+SolvTbl[[#This Row],[O]]+SolvTbl[[#This Row],[F]]+SolvTbl[[#This Row],[N]]+SolvTbl[[#This Row],[S]]+SolvTbl[[#This Row],[P]]+SolvTbl[[#This Row],[B/Cl/As/Si etc.]]</f>
        <v>58</v>
      </c>
      <c r="O33" s="1"/>
    </row>
    <row r="34" spans="1:15" x14ac:dyDescent="0.25">
      <c r="A34" s="1" t="s">
        <v>47</v>
      </c>
      <c r="B34" s="1" t="s">
        <v>110</v>
      </c>
      <c r="C34" s="1">
        <v>4</v>
      </c>
      <c r="D34" s="1">
        <v>5</v>
      </c>
      <c r="E34" s="1">
        <v>2</v>
      </c>
      <c r="F34" s="1">
        <v>3</v>
      </c>
      <c r="G34" s="1"/>
      <c r="H34" s="1"/>
      <c r="I34" s="1"/>
      <c r="J34" s="1"/>
      <c r="K34" s="1">
        <f t="shared" si="2"/>
        <v>142.07999999999998</v>
      </c>
      <c r="L34" s="1">
        <v>1.2410000000000001</v>
      </c>
      <c r="M34" s="1">
        <f t="shared" si="1"/>
        <v>8.7345157657657673</v>
      </c>
      <c r="N34" s="1">
        <f>SolvTbl[[#This Row],[C]]+SolvTbl[[#This Row],[H]]+SolvTbl[[#This Row],[O]]+SolvTbl[[#This Row],[F]]+SolvTbl[[#This Row],[N]]+SolvTbl[[#This Row],[S]]+SolvTbl[[#This Row],[P]]+SolvTbl[[#This Row],[B/Cl/As/Si etc.]]</f>
        <v>14</v>
      </c>
      <c r="O34" s="1"/>
    </row>
    <row r="35" spans="1:15" x14ac:dyDescent="0.25">
      <c r="A35" s="1" t="s">
        <v>108</v>
      </c>
      <c r="B35" s="1" t="s">
        <v>109</v>
      </c>
      <c r="C35" s="1">
        <v>6</v>
      </c>
      <c r="D35" s="1">
        <v>5</v>
      </c>
      <c r="E35" s="1"/>
      <c r="F35" s="1">
        <v>1</v>
      </c>
      <c r="G35" s="1"/>
      <c r="H35" s="1"/>
      <c r="I35" s="1"/>
      <c r="J35" s="1"/>
      <c r="K35" s="1">
        <f t="shared" si="2"/>
        <v>96.100000000000009</v>
      </c>
      <c r="L35" s="1">
        <v>1.02</v>
      </c>
      <c r="M35" s="1">
        <f t="shared" si="1"/>
        <v>10.613943808532778</v>
      </c>
      <c r="N35" s="1">
        <f>SolvTbl[[#This Row],[C]]+SolvTbl[[#This Row],[H]]+SolvTbl[[#This Row],[O]]+SolvTbl[[#This Row],[F]]+SolvTbl[[#This Row],[N]]+SolvTbl[[#This Row],[S]]+SolvTbl[[#This Row],[P]]+SolvTbl[[#This Row],[B/Cl/As/Si etc.]]</f>
        <v>12</v>
      </c>
      <c r="O35" s="1"/>
    </row>
    <row r="36" spans="1:15" x14ac:dyDescent="0.25">
      <c r="A36" s="1" t="s">
        <v>250</v>
      </c>
      <c r="B36" s="1" t="s">
        <v>107</v>
      </c>
      <c r="C36" s="1">
        <v>9</v>
      </c>
      <c r="D36" s="1">
        <v>27</v>
      </c>
      <c r="E36" s="1">
        <v>3</v>
      </c>
      <c r="F36" s="1"/>
      <c r="G36" s="1"/>
      <c r="H36" s="1"/>
      <c r="I36" s="1"/>
      <c r="J36" s="1">
        <v>3</v>
      </c>
      <c r="K36" s="1">
        <f>12.01*C36+1.008*D36+16*E36+19*F36+14.01*G36+32.065*H36+30.973*I36+28.08*J36</f>
        <v>267.54599999999999</v>
      </c>
      <c r="L36" s="1">
        <v>0.83099999999999996</v>
      </c>
      <c r="M36" s="1">
        <f t="shared" si="1"/>
        <v>3.1060079388217354</v>
      </c>
      <c r="N36" s="1">
        <f>SolvTbl[[#This Row],[C]]+SolvTbl[[#This Row],[H]]+SolvTbl[[#This Row],[O]]+SolvTbl[[#This Row],[F]]+SolvTbl[[#This Row],[N]]+SolvTbl[[#This Row],[S]]+SolvTbl[[#This Row],[P]]+SolvTbl[[#This Row],[B/Cl/As/Si etc.]]</f>
        <v>42</v>
      </c>
      <c r="O36" s="1"/>
    </row>
    <row r="37" spans="1:15" x14ac:dyDescent="0.25">
      <c r="A37" s="1" t="s">
        <v>105</v>
      </c>
      <c r="B37" s="1" t="s">
        <v>106</v>
      </c>
      <c r="C37" s="1">
        <v>8</v>
      </c>
      <c r="D37" s="1">
        <v>16</v>
      </c>
      <c r="E37" s="1">
        <v>4</v>
      </c>
      <c r="F37" s="1"/>
      <c r="G37" s="1"/>
      <c r="H37" s="1"/>
      <c r="I37" s="1"/>
      <c r="J37" s="1"/>
      <c r="K37" s="1">
        <f>12.01*C37+1.008*D37+16*E37+19*F37+14.01*G37+32.065*H37+30.973*I37+28.08*J37</f>
        <v>176.208</v>
      </c>
      <c r="L37" s="1">
        <v>1.0900000000000001</v>
      </c>
      <c r="M37" s="1">
        <f t="shared" si="1"/>
        <v>6.1858712430763649</v>
      </c>
      <c r="N37" s="1">
        <f>SolvTbl[[#This Row],[C]]+SolvTbl[[#This Row],[H]]+SolvTbl[[#This Row],[O]]+SolvTbl[[#This Row],[F]]+SolvTbl[[#This Row],[N]]+SolvTbl[[#This Row],[S]]+SolvTbl[[#This Row],[P]]+SolvTbl[[#This Row],[B/Cl/As/Si etc.]]</f>
        <v>28</v>
      </c>
      <c r="O37" s="1"/>
    </row>
    <row r="38" spans="1:15" x14ac:dyDescent="0.25">
      <c r="A38" s="1" t="s">
        <v>103</v>
      </c>
      <c r="B38" s="1" t="s">
        <v>104</v>
      </c>
      <c r="C38" s="1">
        <v>12</v>
      </c>
      <c r="D38" s="1">
        <v>24</v>
      </c>
      <c r="E38" s="1">
        <v>6</v>
      </c>
      <c r="F38" s="1"/>
      <c r="G38" s="1"/>
      <c r="H38" s="1"/>
      <c r="I38" s="1"/>
      <c r="J38" s="1"/>
      <c r="K38" s="1">
        <f>12.01*C38+1.008*D38+16*E38+19*F38+14.01*G38+32.065*H38+30.973*I38+28.08*J38</f>
        <v>264.31200000000001</v>
      </c>
      <c r="L38" s="1">
        <v>1.24</v>
      </c>
      <c r="M38" s="1">
        <f t="shared" si="1"/>
        <v>4.6914252852689247</v>
      </c>
      <c r="N38" s="1">
        <f>SolvTbl[[#This Row],[C]]+SolvTbl[[#This Row],[H]]+SolvTbl[[#This Row],[O]]+SolvTbl[[#This Row],[F]]+SolvTbl[[#This Row],[N]]+SolvTbl[[#This Row],[S]]+SolvTbl[[#This Row],[P]]+SolvTbl[[#This Row],[B/Cl/As/Si etc.]]</f>
        <v>42</v>
      </c>
      <c r="O38" s="1"/>
    </row>
    <row r="39" spans="1:15" x14ac:dyDescent="0.25">
      <c r="A39" s="1" t="s">
        <v>101</v>
      </c>
      <c r="B39" s="1" t="s">
        <v>102</v>
      </c>
      <c r="C39" s="1">
        <v>6</v>
      </c>
      <c r="D39" s="1">
        <v>10</v>
      </c>
      <c r="E39" s="1">
        <v>4</v>
      </c>
      <c r="F39" s="1"/>
      <c r="G39" s="1"/>
      <c r="H39" s="1"/>
      <c r="I39" s="1"/>
      <c r="J39" s="1"/>
      <c r="K39" s="1">
        <f>12.01*C39+1.008*D39+16*E39+19*F39+14.01*G39+32.065*H39+30.973*I39+28.08*J39</f>
        <v>146.13999999999999</v>
      </c>
      <c r="L39" s="1">
        <v>1.1040000000000001</v>
      </c>
      <c r="M39" s="1">
        <f t="shared" si="1"/>
        <v>7.5543998905159446</v>
      </c>
      <c r="N39" s="1">
        <f>SolvTbl[[#This Row],[C]]+SolvTbl[[#This Row],[H]]+SolvTbl[[#This Row],[O]]+SolvTbl[[#This Row],[F]]+SolvTbl[[#This Row],[N]]+SolvTbl[[#This Row],[S]]+SolvTbl[[#This Row],[P]]+SolvTbl[[#This Row],[B/Cl/As/Si etc.]]</f>
        <v>20</v>
      </c>
      <c r="O39" s="1"/>
    </row>
    <row r="40" spans="1:15" x14ac:dyDescent="0.25">
      <c r="A40" s="1" t="s">
        <v>90</v>
      </c>
      <c r="B40" s="1" t="s">
        <v>100</v>
      </c>
      <c r="C40" s="1">
        <v>6</v>
      </c>
      <c r="D40" s="1">
        <v>6</v>
      </c>
      <c r="E40" s="1">
        <v>3</v>
      </c>
      <c r="F40" s="1">
        <v>9</v>
      </c>
      <c r="G40" s="1"/>
      <c r="H40" s="1"/>
      <c r="I40" s="1"/>
      <c r="J40" s="1">
        <v>1</v>
      </c>
      <c r="K40" s="1">
        <f t="shared" ref="K40:K89" si="3">12.01*C40+1.008*D40+16*E40+19*F40+14.01*G40+32.065*H40+30.973*I40+10.811*J40</f>
        <v>307.91899999999998</v>
      </c>
      <c r="L40" s="1">
        <v>1.43</v>
      </c>
      <c r="M40" s="1">
        <f t="shared" si="1"/>
        <v>4.6440784751834085</v>
      </c>
      <c r="N40" s="1">
        <f>SolvTbl[[#This Row],[C]]+SolvTbl[[#This Row],[H]]+SolvTbl[[#This Row],[O]]+SolvTbl[[#This Row],[F]]+SolvTbl[[#This Row],[N]]+SolvTbl[[#This Row],[S]]+SolvTbl[[#This Row],[P]]+SolvTbl[[#This Row],[B/Cl/As/Si etc.]]</f>
        <v>25</v>
      </c>
      <c r="O40" s="1"/>
    </row>
    <row r="41" spans="1:15" x14ac:dyDescent="0.25">
      <c r="A41" s="1" t="s">
        <v>98</v>
      </c>
      <c r="B41" s="1" t="s">
        <v>99</v>
      </c>
      <c r="C41" s="1">
        <v>2</v>
      </c>
      <c r="D41" s="1">
        <v>4</v>
      </c>
      <c r="E41" s="1"/>
      <c r="F41" s="1"/>
      <c r="G41" s="1"/>
      <c r="H41" s="1">
        <v>1</v>
      </c>
      <c r="I41" s="1"/>
      <c r="J41" s="1"/>
      <c r="K41" s="1">
        <f t="shared" si="3"/>
        <v>60.116999999999997</v>
      </c>
      <c r="L41" s="1">
        <v>1.01</v>
      </c>
      <c r="M41" s="1">
        <f t="shared" si="1"/>
        <v>16.800572217509192</v>
      </c>
      <c r="N41" s="1">
        <f>SolvTbl[[#This Row],[C]]+SolvTbl[[#This Row],[H]]+SolvTbl[[#This Row],[O]]+SolvTbl[[#This Row],[F]]+SolvTbl[[#This Row],[N]]+SolvTbl[[#This Row],[S]]+SolvTbl[[#This Row],[P]]+SolvTbl[[#This Row],[B/Cl/As/Si etc.]]</f>
        <v>7</v>
      </c>
      <c r="O41" s="1"/>
    </row>
    <row r="42" spans="1:15" x14ac:dyDescent="0.25">
      <c r="A42" s="1" t="s">
        <v>96</v>
      </c>
      <c r="B42" s="1" t="s">
        <v>97</v>
      </c>
      <c r="C42" s="1">
        <v>6</v>
      </c>
      <c r="D42" s="1">
        <v>12</v>
      </c>
      <c r="E42" s="1">
        <v>1</v>
      </c>
      <c r="F42" s="1"/>
      <c r="G42" s="1"/>
      <c r="H42" s="1"/>
      <c r="I42" s="1"/>
      <c r="J42" s="1"/>
      <c r="K42" s="1">
        <f t="shared" si="3"/>
        <v>100.15600000000001</v>
      </c>
      <c r="L42" s="1">
        <v>0.83299999999999996</v>
      </c>
      <c r="M42" s="1">
        <f t="shared" si="1"/>
        <v>8.3170254403131114</v>
      </c>
      <c r="N42" s="1">
        <f>SolvTbl[[#This Row],[C]]+SolvTbl[[#This Row],[H]]+SolvTbl[[#This Row],[O]]+SolvTbl[[#This Row],[F]]+SolvTbl[[#This Row],[N]]+SolvTbl[[#This Row],[S]]+SolvTbl[[#This Row],[P]]+SolvTbl[[#This Row],[B/Cl/As/Si etc.]]</f>
        <v>19</v>
      </c>
      <c r="O42" s="1"/>
    </row>
    <row r="43" spans="1:15" x14ac:dyDescent="0.25">
      <c r="A43" s="1" t="s">
        <v>94</v>
      </c>
      <c r="B43" s="1" t="s">
        <v>95</v>
      </c>
      <c r="C43" s="1">
        <v>8</v>
      </c>
      <c r="D43" s="1">
        <v>10</v>
      </c>
      <c r="E43" s="1">
        <v>2</v>
      </c>
      <c r="F43" s="1">
        <v>8</v>
      </c>
      <c r="G43" s="1"/>
      <c r="H43" s="1"/>
      <c r="I43" s="1"/>
      <c r="J43" s="1"/>
      <c r="K43" s="1">
        <f t="shared" si="3"/>
        <v>290.15999999999997</v>
      </c>
      <c r="L43" s="1">
        <v>1.3</v>
      </c>
      <c r="M43" s="1">
        <f t="shared" si="1"/>
        <v>4.4802867383512552</v>
      </c>
      <c r="N43" s="1">
        <f>SolvTbl[[#This Row],[C]]+SolvTbl[[#This Row],[H]]+SolvTbl[[#This Row],[O]]+SolvTbl[[#This Row],[F]]+SolvTbl[[#This Row],[N]]+SolvTbl[[#This Row],[S]]+SolvTbl[[#This Row],[P]]+SolvTbl[[#This Row],[B/Cl/As/Si etc.]]</f>
        <v>28</v>
      </c>
      <c r="O43" s="1"/>
    </row>
    <row r="44" spans="1:15" x14ac:dyDescent="0.25">
      <c r="A44" s="1" t="s">
        <v>34</v>
      </c>
      <c r="B44" s="1" t="s">
        <v>93</v>
      </c>
      <c r="C44" s="1">
        <v>2</v>
      </c>
      <c r="D44" s="1">
        <v>6</v>
      </c>
      <c r="E44" s="1">
        <v>2</v>
      </c>
      <c r="F44" s="1">
        <v>1</v>
      </c>
      <c r="G44" s="1">
        <v>1</v>
      </c>
      <c r="H44" s="1">
        <v>1</v>
      </c>
      <c r="I44" s="1"/>
      <c r="J44" s="1"/>
      <c r="K44" s="1">
        <f t="shared" si="3"/>
        <v>127.143</v>
      </c>
      <c r="L44" s="1">
        <v>1.48</v>
      </c>
      <c r="M44" s="1">
        <f t="shared" si="1"/>
        <v>11.640436359060271</v>
      </c>
      <c r="N44" s="1">
        <f>SolvTbl[[#This Row],[C]]+SolvTbl[[#This Row],[H]]+SolvTbl[[#This Row],[O]]+SolvTbl[[#This Row],[F]]+SolvTbl[[#This Row],[N]]+SolvTbl[[#This Row],[S]]+SolvTbl[[#This Row],[P]]+SolvTbl[[#This Row],[B/Cl/As/Si etc.]]</f>
        <v>13</v>
      </c>
      <c r="O44" s="1"/>
    </row>
    <row r="45" spans="1:15" x14ac:dyDescent="0.25">
      <c r="A45" s="1" t="s">
        <v>91</v>
      </c>
      <c r="B45" s="1" t="s">
        <v>92</v>
      </c>
      <c r="C45" s="1">
        <v>5</v>
      </c>
      <c r="D45" s="1">
        <v>4</v>
      </c>
      <c r="E45" s="1">
        <v>3</v>
      </c>
      <c r="F45" s="1">
        <v>6</v>
      </c>
      <c r="G45" s="1"/>
      <c r="H45" s="1"/>
      <c r="I45" s="1"/>
      <c r="J45" s="1"/>
      <c r="K45" s="1">
        <f t="shared" si="3"/>
        <v>226.08199999999999</v>
      </c>
      <c r="L45" s="1">
        <v>1.51</v>
      </c>
      <c r="M45" s="1">
        <f t="shared" si="1"/>
        <v>6.678992577914209</v>
      </c>
      <c r="N45" s="1">
        <f>SolvTbl[[#This Row],[C]]+SolvTbl[[#This Row],[H]]+SolvTbl[[#This Row],[O]]+SolvTbl[[#This Row],[F]]+SolvTbl[[#This Row],[N]]+SolvTbl[[#This Row],[S]]+SolvTbl[[#This Row],[P]]+SolvTbl[[#This Row],[B/Cl/As/Si etc.]]</f>
        <v>18</v>
      </c>
      <c r="O45" s="1"/>
    </row>
    <row r="46" spans="1:15" x14ac:dyDescent="0.25">
      <c r="A46" s="1" t="s">
        <v>88</v>
      </c>
      <c r="B46" s="1" t="s">
        <v>89</v>
      </c>
      <c r="C46" s="1">
        <v>5</v>
      </c>
      <c r="D46" s="1">
        <v>10</v>
      </c>
      <c r="E46" s="1">
        <v>2</v>
      </c>
      <c r="F46" s="1"/>
      <c r="G46" s="1"/>
      <c r="H46" s="1"/>
      <c r="I46" s="1"/>
      <c r="J46" s="1"/>
      <c r="K46" s="1">
        <f t="shared" si="3"/>
        <v>102.13</v>
      </c>
      <c r="L46" s="1">
        <v>1.06</v>
      </c>
      <c r="M46" s="1">
        <f t="shared" si="1"/>
        <v>10.37892881621463</v>
      </c>
      <c r="N46" s="1">
        <f>SolvTbl[[#This Row],[C]]+SolvTbl[[#This Row],[H]]+SolvTbl[[#This Row],[O]]+SolvTbl[[#This Row],[F]]+SolvTbl[[#This Row],[N]]+SolvTbl[[#This Row],[S]]+SolvTbl[[#This Row],[P]]+SolvTbl[[#This Row],[B/Cl/As/Si etc.]]</f>
        <v>17</v>
      </c>
      <c r="O46" s="1"/>
    </row>
    <row r="47" spans="1:15" x14ac:dyDescent="0.25">
      <c r="A47" s="1" t="s">
        <v>86</v>
      </c>
      <c r="B47" s="1" t="s">
        <v>87</v>
      </c>
      <c r="C47" s="1">
        <v>6</v>
      </c>
      <c r="D47" s="1">
        <v>14</v>
      </c>
      <c r="E47" s="1">
        <v>2</v>
      </c>
      <c r="F47" s="1"/>
      <c r="G47" s="1"/>
      <c r="H47" s="1"/>
      <c r="I47" s="1"/>
      <c r="J47" s="1"/>
      <c r="K47" s="1">
        <f t="shared" si="3"/>
        <v>118.172</v>
      </c>
      <c r="L47" s="1">
        <v>0.84199999999999997</v>
      </c>
      <c r="M47" s="1">
        <f t="shared" si="1"/>
        <v>7.1252073249162242</v>
      </c>
      <c r="N47" s="1">
        <f>SolvTbl[[#This Row],[C]]+SolvTbl[[#This Row],[H]]+SolvTbl[[#This Row],[O]]+SolvTbl[[#This Row],[F]]+SolvTbl[[#This Row],[N]]+SolvTbl[[#This Row],[S]]+SolvTbl[[#This Row],[P]]+SolvTbl[[#This Row],[B/Cl/As/Si etc.]]</f>
        <v>22</v>
      </c>
      <c r="O47" s="1"/>
    </row>
    <row r="48" spans="1:15" x14ac:dyDescent="0.25">
      <c r="A48" s="1" t="s">
        <v>84</v>
      </c>
      <c r="B48" s="1" t="s">
        <v>85</v>
      </c>
      <c r="C48" s="1">
        <v>6</v>
      </c>
      <c r="D48" s="1">
        <v>11</v>
      </c>
      <c r="E48" s="1">
        <v>2</v>
      </c>
      <c r="F48" s="1">
        <v>3</v>
      </c>
      <c r="G48" s="1"/>
      <c r="H48" s="1"/>
      <c r="I48" s="1"/>
      <c r="J48" s="1"/>
      <c r="K48" s="1">
        <f t="shared" si="3"/>
        <v>172.148</v>
      </c>
      <c r="L48" s="1">
        <v>1.07</v>
      </c>
      <c r="M48" s="1">
        <f t="shared" si="1"/>
        <v>6.2155819411204316</v>
      </c>
      <c r="N48" s="1">
        <f>SolvTbl[[#This Row],[C]]+SolvTbl[[#This Row],[H]]+SolvTbl[[#This Row],[O]]+SolvTbl[[#This Row],[F]]+SolvTbl[[#This Row],[N]]+SolvTbl[[#This Row],[S]]+SolvTbl[[#This Row],[P]]+SolvTbl[[#This Row],[B/Cl/As/Si etc.]]</f>
        <v>22</v>
      </c>
      <c r="O48" s="1"/>
    </row>
    <row r="49" spans="1:15" x14ac:dyDescent="0.25">
      <c r="A49" s="1" t="s">
        <v>82</v>
      </c>
      <c r="B49" s="1" t="s">
        <v>83</v>
      </c>
      <c r="C49" s="1">
        <v>6</v>
      </c>
      <c r="D49" s="1">
        <v>10</v>
      </c>
      <c r="E49" s="1">
        <v>2</v>
      </c>
      <c r="F49" s="1">
        <v>4</v>
      </c>
      <c r="G49" s="1"/>
      <c r="H49" s="1"/>
      <c r="I49" s="1"/>
      <c r="J49" s="1"/>
      <c r="K49" s="1">
        <f t="shared" si="3"/>
        <v>190.14</v>
      </c>
      <c r="L49" s="1">
        <v>1.24</v>
      </c>
      <c r="M49" s="1">
        <f t="shared" si="1"/>
        <v>6.5215104659724412</v>
      </c>
      <c r="N49" s="1">
        <f>SolvTbl[[#This Row],[C]]+SolvTbl[[#This Row],[H]]+SolvTbl[[#This Row],[O]]+SolvTbl[[#This Row],[F]]+SolvTbl[[#This Row],[N]]+SolvTbl[[#This Row],[S]]+SolvTbl[[#This Row],[P]]+SolvTbl[[#This Row],[B/Cl/As/Si etc.]]</f>
        <v>22</v>
      </c>
      <c r="O49" s="1"/>
    </row>
    <row r="50" spans="1:15" x14ac:dyDescent="0.25">
      <c r="A50" s="1" t="s">
        <v>80</v>
      </c>
      <c r="B50" s="1" t="s">
        <v>81</v>
      </c>
      <c r="C50" s="1">
        <v>6</v>
      </c>
      <c r="D50" s="1">
        <v>9</v>
      </c>
      <c r="E50" s="1">
        <v>2</v>
      </c>
      <c r="F50" s="1">
        <v>5</v>
      </c>
      <c r="G50" s="1"/>
      <c r="H50" s="1"/>
      <c r="I50" s="1"/>
      <c r="J50" s="1"/>
      <c r="K50" s="1">
        <f t="shared" si="3"/>
        <v>208.13200000000001</v>
      </c>
      <c r="L50" s="1">
        <v>1.29</v>
      </c>
      <c r="M50" s="1">
        <f t="shared" si="1"/>
        <v>6.1979897372821098</v>
      </c>
      <c r="N50" s="1">
        <f>SolvTbl[[#This Row],[C]]+SolvTbl[[#This Row],[H]]+SolvTbl[[#This Row],[O]]+SolvTbl[[#This Row],[F]]+SolvTbl[[#This Row],[N]]+SolvTbl[[#This Row],[S]]+SolvTbl[[#This Row],[P]]+SolvTbl[[#This Row],[B/Cl/As/Si etc.]]</f>
        <v>22</v>
      </c>
      <c r="O50" s="1"/>
    </row>
    <row r="51" spans="1:15" x14ac:dyDescent="0.25">
      <c r="A51" s="1" t="s">
        <v>78</v>
      </c>
      <c r="B51" s="1" t="s">
        <v>79</v>
      </c>
      <c r="C51" s="1">
        <v>6</v>
      </c>
      <c r="D51" s="1">
        <v>8</v>
      </c>
      <c r="E51" s="1">
        <v>2</v>
      </c>
      <c r="F51" s="1">
        <v>6</v>
      </c>
      <c r="G51" s="1"/>
      <c r="H51" s="1"/>
      <c r="I51" s="1"/>
      <c r="J51" s="1"/>
      <c r="K51" s="1">
        <f t="shared" si="3"/>
        <v>226.124</v>
      </c>
      <c r="L51" s="1">
        <v>1.4</v>
      </c>
      <c r="M51" s="1">
        <f t="shared" si="1"/>
        <v>6.1912932727176235</v>
      </c>
      <c r="N51" s="1">
        <f>SolvTbl[[#This Row],[C]]+SolvTbl[[#This Row],[H]]+SolvTbl[[#This Row],[O]]+SolvTbl[[#This Row],[F]]+SolvTbl[[#This Row],[N]]+SolvTbl[[#This Row],[S]]+SolvTbl[[#This Row],[P]]+SolvTbl[[#This Row],[B/Cl/As/Si etc.]]</f>
        <v>22</v>
      </c>
      <c r="O51" s="1"/>
    </row>
    <row r="52" spans="1:15" x14ac:dyDescent="0.25">
      <c r="A52" s="1" t="s">
        <v>69</v>
      </c>
      <c r="B52" s="1" t="s">
        <v>212</v>
      </c>
      <c r="C52" s="1">
        <v>4</v>
      </c>
      <c r="D52" s="1">
        <v>8</v>
      </c>
      <c r="E52" s="1">
        <v>2</v>
      </c>
      <c r="F52" s="1"/>
      <c r="G52" s="1"/>
      <c r="H52" s="1"/>
      <c r="I52" s="1"/>
      <c r="J52" s="1"/>
      <c r="K52" s="1">
        <f t="shared" si="3"/>
        <v>88.103999999999999</v>
      </c>
      <c r="L52" s="1">
        <v>1.036</v>
      </c>
      <c r="M52" s="1">
        <f t="shared" si="1"/>
        <v>11.758830473077273</v>
      </c>
      <c r="N52" s="1">
        <f>SolvTbl[[#This Row],[C]]+SolvTbl[[#This Row],[H]]+SolvTbl[[#This Row],[O]]+SolvTbl[[#This Row],[F]]+SolvTbl[[#This Row],[N]]+SolvTbl[[#This Row],[S]]+SolvTbl[[#This Row],[P]]+SolvTbl[[#This Row],[B/Cl/As/Si etc.]]</f>
        <v>14</v>
      </c>
    </row>
    <row r="53" spans="1:15" x14ac:dyDescent="0.25">
      <c r="A53" s="1" t="s">
        <v>20</v>
      </c>
      <c r="B53" s="1" t="s">
        <v>213</v>
      </c>
      <c r="C53" s="1">
        <v>3</v>
      </c>
      <c r="D53" s="1">
        <v>6</v>
      </c>
      <c r="E53" s="1">
        <v>2</v>
      </c>
      <c r="F53" s="1"/>
      <c r="G53" s="1"/>
      <c r="H53" s="1"/>
      <c r="I53" s="1"/>
      <c r="J53" s="1"/>
      <c r="K53" s="1">
        <f t="shared" si="3"/>
        <v>74.078000000000003</v>
      </c>
      <c r="L53" s="1">
        <v>1.06</v>
      </c>
      <c r="M53" s="1">
        <f t="shared" si="1"/>
        <v>14.309241610194659</v>
      </c>
      <c r="N53" s="1">
        <f>SolvTbl[[#This Row],[C]]+SolvTbl[[#This Row],[H]]+SolvTbl[[#This Row],[O]]+SolvTbl[[#This Row],[F]]+SolvTbl[[#This Row],[N]]+SolvTbl[[#This Row],[S]]+SolvTbl[[#This Row],[P]]+SolvTbl[[#This Row],[B/Cl/As/Si etc.]]</f>
        <v>11</v>
      </c>
    </row>
    <row r="54" spans="1:15" x14ac:dyDescent="0.25">
      <c r="A54" s="1" t="s">
        <v>16</v>
      </c>
      <c r="B54" s="1" t="s">
        <v>214</v>
      </c>
      <c r="C54" s="1">
        <v>5</v>
      </c>
      <c r="D54" s="1">
        <v>10</v>
      </c>
      <c r="E54" s="1">
        <v>1</v>
      </c>
      <c r="F54" s="1"/>
      <c r="G54" s="1"/>
      <c r="H54" s="1"/>
      <c r="I54" s="1"/>
      <c r="J54" s="1"/>
      <c r="K54" s="1">
        <f t="shared" si="3"/>
        <v>86.13</v>
      </c>
      <c r="L54" s="1">
        <v>0.85499999999999998</v>
      </c>
      <c r="M54" s="1">
        <f t="shared" si="1"/>
        <v>9.9268547544409618</v>
      </c>
      <c r="N54" s="1">
        <f>SolvTbl[[#This Row],[C]]+SolvTbl[[#This Row],[H]]+SolvTbl[[#This Row],[O]]+SolvTbl[[#This Row],[F]]+SolvTbl[[#This Row],[N]]+SolvTbl[[#This Row],[S]]+SolvTbl[[#This Row],[P]]+SolvTbl[[#This Row],[B/Cl/As/Si etc.]]</f>
        <v>16</v>
      </c>
    </row>
    <row r="55" spans="1:15" x14ac:dyDescent="0.25">
      <c r="A55" s="1" t="s">
        <v>64</v>
      </c>
      <c r="B55" s="1" t="s">
        <v>215</v>
      </c>
      <c r="C55" s="1">
        <v>8</v>
      </c>
      <c r="D55" s="1">
        <v>18</v>
      </c>
      <c r="E55" s="1">
        <v>1</v>
      </c>
      <c r="F55" s="1"/>
      <c r="G55" s="1"/>
      <c r="H55" s="1"/>
      <c r="I55" s="1"/>
      <c r="J55" s="1"/>
      <c r="K55" s="1">
        <f t="shared" si="3"/>
        <v>130.22399999999999</v>
      </c>
      <c r="L55" s="1">
        <v>0.76800000000000002</v>
      </c>
      <c r="M55" s="1">
        <f t="shared" si="1"/>
        <v>5.8975304091411731</v>
      </c>
      <c r="N55" s="1">
        <f>SolvTbl[[#This Row],[C]]+SolvTbl[[#This Row],[H]]+SolvTbl[[#This Row],[O]]+SolvTbl[[#This Row],[F]]+SolvTbl[[#This Row],[N]]+SolvTbl[[#This Row],[S]]+SolvTbl[[#This Row],[P]]+SolvTbl[[#This Row],[B/Cl/As/Si etc.]]</f>
        <v>27</v>
      </c>
    </row>
    <row r="56" spans="1:15" x14ac:dyDescent="0.25">
      <c r="A56" s="1" t="s">
        <v>37</v>
      </c>
      <c r="B56" s="1" t="s">
        <v>216</v>
      </c>
      <c r="C56" s="1">
        <v>5</v>
      </c>
      <c r="D56" s="1">
        <v>10</v>
      </c>
      <c r="E56" s="1">
        <v>2</v>
      </c>
      <c r="F56" s="1">
        <v>3</v>
      </c>
      <c r="G56" s="1">
        <v>1</v>
      </c>
      <c r="H56" s="1">
        <v>1</v>
      </c>
      <c r="I56" s="1"/>
      <c r="J56" s="1"/>
      <c r="K56" s="1">
        <f t="shared" si="3"/>
        <v>205.20499999999998</v>
      </c>
      <c r="L56" s="1">
        <v>1.29</v>
      </c>
      <c r="M56" s="1">
        <f t="shared" si="1"/>
        <v>6.2863965302989699</v>
      </c>
      <c r="N56" s="1">
        <f>SolvTbl[[#This Row],[C]]+SolvTbl[[#This Row],[H]]+SolvTbl[[#This Row],[O]]+SolvTbl[[#This Row],[F]]+SolvTbl[[#This Row],[N]]+SolvTbl[[#This Row],[S]]+SolvTbl[[#This Row],[P]]+SolvTbl[[#This Row],[B/Cl/As/Si etc.]]</f>
        <v>22</v>
      </c>
    </row>
    <row r="57" spans="1:15" x14ac:dyDescent="0.25">
      <c r="A57" s="1" t="s">
        <v>28</v>
      </c>
      <c r="B57" s="1" t="s">
        <v>217</v>
      </c>
      <c r="C57" s="1">
        <v>5</v>
      </c>
      <c r="D57" s="1">
        <v>10</v>
      </c>
      <c r="E57" s="1">
        <v>3</v>
      </c>
      <c r="F57" s="1"/>
      <c r="G57" s="1"/>
      <c r="H57" s="1"/>
      <c r="I57" s="1"/>
      <c r="J57" s="1"/>
      <c r="K57" s="1">
        <f t="shared" si="3"/>
        <v>118.13</v>
      </c>
      <c r="L57" s="1">
        <v>0.97499999999999998</v>
      </c>
      <c r="M57" s="1">
        <f t="shared" si="1"/>
        <v>8.2536188944383309</v>
      </c>
      <c r="N57" s="1">
        <f>SolvTbl[[#This Row],[C]]+SolvTbl[[#This Row],[H]]+SolvTbl[[#This Row],[O]]+SolvTbl[[#This Row],[F]]+SolvTbl[[#This Row],[N]]+SolvTbl[[#This Row],[S]]+SolvTbl[[#This Row],[P]]+SolvTbl[[#This Row],[B/Cl/As/Si etc.]]</f>
        <v>18</v>
      </c>
    </row>
    <row r="58" spans="1:15" x14ac:dyDescent="0.25">
      <c r="A58" s="1" t="s">
        <v>57</v>
      </c>
      <c r="B58" s="1" t="s">
        <v>218</v>
      </c>
      <c r="C58" s="1">
        <v>5</v>
      </c>
      <c r="D58" s="1">
        <v>7</v>
      </c>
      <c r="E58" s="1">
        <v>3</v>
      </c>
      <c r="F58" s="1">
        <v>3</v>
      </c>
      <c r="G58" s="1"/>
      <c r="H58" s="1"/>
      <c r="I58" s="1"/>
      <c r="J58" s="1"/>
      <c r="K58" s="1">
        <f>12.01*C58+1.008*D58+16*E58+19*F58+14.01*G58+32.065*H58+30.973*I58+10.811*J58</f>
        <v>172.10599999999999</v>
      </c>
      <c r="L58" s="1">
        <v>1.26</v>
      </c>
      <c r="M58" s="1">
        <f t="shared" si="1"/>
        <v>7.3210695734024389</v>
      </c>
      <c r="N58" s="1">
        <f>SolvTbl[[#This Row],[C]]+SolvTbl[[#This Row],[H]]+SolvTbl[[#This Row],[O]]+SolvTbl[[#This Row],[F]]+SolvTbl[[#This Row],[N]]+SolvTbl[[#This Row],[S]]+SolvTbl[[#This Row],[P]]+SolvTbl[[#This Row],[B/Cl/As/Si etc.]]</f>
        <v>18</v>
      </c>
    </row>
    <row r="59" spans="1:15" x14ac:dyDescent="0.25">
      <c r="A59" s="1" t="s">
        <v>65</v>
      </c>
      <c r="B59" s="1" t="s">
        <v>219</v>
      </c>
      <c r="C59" s="1">
        <v>4</v>
      </c>
      <c r="D59" s="1">
        <v>8</v>
      </c>
      <c r="E59" s="1">
        <v>2</v>
      </c>
      <c r="F59" s="1"/>
      <c r="G59" s="1"/>
      <c r="H59" s="1"/>
      <c r="I59" s="1"/>
      <c r="J59" s="1"/>
      <c r="K59" s="1">
        <f t="shared" si="3"/>
        <v>88.103999999999999</v>
      </c>
      <c r="L59" s="1">
        <v>0.90200000000000002</v>
      </c>
      <c r="M59" s="1">
        <f t="shared" si="1"/>
        <v>10.237900662852992</v>
      </c>
      <c r="N59" s="1">
        <f>SolvTbl[[#This Row],[C]]+SolvTbl[[#This Row],[H]]+SolvTbl[[#This Row],[O]]+SolvTbl[[#This Row],[F]]+SolvTbl[[#This Row],[N]]+SolvTbl[[#This Row],[S]]+SolvTbl[[#This Row],[P]]+SolvTbl[[#This Row],[B/Cl/As/Si etc.]]</f>
        <v>14</v>
      </c>
    </row>
    <row r="60" spans="1:15" x14ac:dyDescent="0.25">
      <c r="A60" s="1" t="s">
        <v>52</v>
      </c>
      <c r="B60" s="1" t="s">
        <v>220</v>
      </c>
      <c r="C60" s="1">
        <v>6</v>
      </c>
      <c r="D60" s="1">
        <v>14</v>
      </c>
      <c r="E60" s="1">
        <v>2</v>
      </c>
      <c r="F60" s="1"/>
      <c r="G60" s="1"/>
      <c r="H60" s="1"/>
      <c r="I60" s="1"/>
      <c r="J60" s="1"/>
      <c r="K60" s="1">
        <f t="shared" si="3"/>
        <v>118.172</v>
      </c>
      <c r="L60" s="1">
        <v>0.84840000000000004</v>
      </c>
      <c r="M60" s="1">
        <f t="shared" si="1"/>
        <v>7.1793656703787709</v>
      </c>
      <c r="N60" s="1">
        <f>SolvTbl[[#This Row],[C]]+SolvTbl[[#This Row],[H]]+SolvTbl[[#This Row],[O]]+SolvTbl[[#This Row],[F]]+SolvTbl[[#This Row],[N]]+SolvTbl[[#This Row],[S]]+SolvTbl[[#This Row],[P]]+SolvTbl[[#This Row],[B/Cl/As/Si etc.]]</f>
        <v>22</v>
      </c>
    </row>
    <row r="61" spans="1:15" x14ac:dyDescent="0.25">
      <c r="A61" s="1" t="s">
        <v>53</v>
      </c>
      <c r="B61" s="1" t="s">
        <v>221</v>
      </c>
      <c r="C61" s="1">
        <v>6</v>
      </c>
      <c r="D61" s="1">
        <v>11</v>
      </c>
      <c r="E61" s="1">
        <v>2</v>
      </c>
      <c r="F61" s="1">
        <v>3</v>
      </c>
      <c r="G61" s="1"/>
      <c r="H61" s="1"/>
      <c r="I61" s="1"/>
      <c r="J61" s="1"/>
      <c r="K61" s="1">
        <f t="shared" si="3"/>
        <v>172.148</v>
      </c>
      <c r="L61" s="1">
        <v>1.1000000000000001</v>
      </c>
      <c r="M61" s="1">
        <f t="shared" si="1"/>
        <v>6.3898505936752104</v>
      </c>
      <c r="N61" s="1">
        <f>SolvTbl[[#This Row],[C]]+SolvTbl[[#This Row],[H]]+SolvTbl[[#This Row],[O]]+SolvTbl[[#This Row],[F]]+SolvTbl[[#This Row],[N]]+SolvTbl[[#This Row],[S]]+SolvTbl[[#This Row],[P]]+SolvTbl[[#This Row],[B/Cl/As/Si etc.]]</f>
        <v>22</v>
      </c>
    </row>
    <row r="62" spans="1:15" x14ac:dyDescent="0.25">
      <c r="A62" s="1" t="s">
        <v>72</v>
      </c>
      <c r="B62" s="1" t="s">
        <v>222</v>
      </c>
      <c r="C62" s="1">
        <v>6</v>
      </c>
      <c r="D62" s="1">
        <v>16</v>
      </c>
      <c r="E62" s="1">
        <v>2</v>
      </c>
      <c r="F62" s="1"/>
      <c r="G62" s="1"/>
      <c r="H62" s="1"/>
      <c r="I62" s="1"/>
      <c r="J62" s="1">
        <v>1</v>
      </c>
      <c r="K62" s="1">
        <f t="shared" si="3"/>
        <v>130.999</v>
      </c>
      <c r="L62" s="1">
        <v>0.86499999999999999</v>
      </c>
      <c r="M62" s="1">
        <f t="shared" si="1"/>
        <v>6.6031038404873321</v>
      </c>
      <c r="N62" s="1">
        <f>SolvTbl[[#This Row],[C]]+SolvTbl[[#This Row],[H]]+SolvTbl[[#This Row],[O]]+SolvTbl[[#This Row],[F]]+SolvTbl[[#This Row],[N]]+SolvTbl[[#This Row],[S]]+SolvTbl[[#This Row],[P]]+SolvTbl[[#This Row],[B/Cl/As/Si etc.]]</f>
        <v>25</v>
      </c>
    </row>
    <row r="63" spans="1:15" x14ac:dyDescent="0.25">
      <c r="A63" s="1" t="s">
        <v>71</v>
      </c>
      <c r="B63" s="1" t="s">
        <v>223</v>
      </c>
      <c r="C63" s="1">
        <v>7</v>
      </c>
      <c r="D63" s="1">
        <v>18</v>
      </c>
      <c r="E63" s="1">
        <v>4</v>
      </c>
      <c r="F63" s="1"/>
      <c r="G63" s="1"/>
      <c r="H63" s="1"/>
      <c r="I63" s="1"/>
      <c r="J63" s="1">
        <v>1</v>
      </c>
      <c r="K63" s="1">
        <f t="shared" si="3"/>
        <v>177.02500000000001</v>
      </c>
      <c r="L63" s="1">
        <v>0.9</v>
      </c>
      <c r="M63" s="1">
        <f t="shared" si="1"/>
        <v>5.0840276797062565</v>
      </c>
      <c r="N63" s="1">
        <f>SolvTbl[[#This Row],[C]]+SolvTbl[[#This Row],[H]]+SolvTbl[[#This Row],[O]]+SolvTbl[[#This Row],[F]]+SolvTbl[[#This Row],[N]]+SolvTbl[[#This Row],[S]]+SolvTbl[[#This Row],[P]]+SolvTbl[[#This Row],[B/Cl/As/Si etc.]]</f>
        <v>30</v>
      </c>
    </row>
    <row r="64" spans="1:15" x14ac:dyDescent="0.25">
      <c r="A64" s="1" t="s">
        <v>70</v>
      </c>
      <c r="B64" s="1" t="s">
        <v>224</v>
      </c>
      <c r="C64" s="1">
        <v>8</v>
      </c>
      <c r="D64" s="1">
        <v>20</v>
      </c>
      <c r="E64" s="1">
        <v>4</v>
      </c>
      <c r="F64" s="1"/>
      <c r="G64" s="1"/>
      <c r="H64" s="1"/>
      <c r="I64" s="1"/>
      <c r="J64" s="1">
        <v>1</v>
      </c>
      <c r="K64" s="1">
        <f t="shared" si="3"/>
        <v>191.05100000000002</v>
      </c>
      <c r="L64" s="1">
        <v>0.93300000000000005</v>
      </c>
      <c r="M64" s="1">
        <f t="shared" si="1"/>
        <v>4.8835127793102364</v>
      </c>
      <c r="N64" s="1">
        <f>SolvTbl[[#This Row],[C]]+SolvTbl[[#This Row],[H]]+SolvTbl[[#This Row],[O]]+SolvTbl[[#This Row],[F]]+SolvTbl[[#This Row],[N]]+SolvTbl[[#This Row],[S]]+SolvTbl[[#This Row],[P]]+SolvTbl[[#This Row],[B/Cl/As/Si etc.]]</f>
        <v>33</v>
      </c>
    </row>
    <row r="65" spans="1:14" x14ac:dyDescent="0.25">
      <c r="A65" s="1" t="s">
        <v>62</v>
      </c>
      <c r="B65" s="1" t="s">
        <v>225</v>
      </c>
      <c r="C65" s="1">
        <v>6</v>
      </c>
      <c r="D65" s="1">
        <v>11</v>
      </c>
      <c r="E65" s="1">
        <v>4</v>
      </c>
      <c r="F65" s="1">
        <v>2</v>
      </c>
      <c r="G65" s="1">
        <v>3</v>
      </c>
      <c r="H65" s="1">
        <v>2</v>
      </c>
      <c r="I65" s="1"/>
      <c r="J65" s="1"/>
      <c r="K65" s="1">
        <f t="shared" si="3"/>
        <v>291.30799999999999</v>
      </c>
      <c r="L65" s="1">
        <v>1.52</v>
      </c>
      <c r="M65" s="1">
        <f t="shared" si="1"/>
        <v>5.2178450300026098</v>
      </c>
      <c r="N65" s="1">
        <f>SolvTbl[[#This Row],[C]]+SolvTbl[[#This Row],[H]]+SolvTbl[[#This Row],[O]]+SolvTbl[[#This Row],[F]]+SolvTbl[[#This Row],[N]]+SolvTbl[[#This Row],[S]]+SolvTbl[[#This Row],[P]]+SolvTbl[[#This Row],[B/Cl/As/Si etc.]]</f>
        <v>28</v>
      </c>
    </row>
    <row r="66" spans="1:14" x14ac:dyDescent="0.25">
      <c r="A66" s="1" t="s">
        <v>25</v>
      </c>
      <c r="B66" s="1" t="s">
        <v>226</v>
      </c>
      <c r="C66" s="1">
        <v>1</v>
      </c>
      <c r="D66" s="1">
        <v>3</v>
      </c>
      <c r="E66" s="1"/>
      <c r="F66" s="1">
        <v>1</v>
      </c>
      <c r="G66" s="1"/>
      <c r="H66" s="1"/>
      <c r="I66" s="1"/>
      <c r="J66" s="1"/>
      <c r="K66" s="1">
        <f t="shared" si="3"/>
        <v>34.033999999999999</v>
      </c>
      <c r="L66" s="1">
        <v>0.7</v>
      </c>
      <c r="M66" s="1">
        <f t="shared" si="1"/>
        <v>20.567667626491154</v>
      </c>
      <c r="N66" s="1">
        <f>SolvTbl[[#This Row],[C]]+SolvTbl[[#This Row],[H]]+SolvTbl[[#This Row],[O]]+SolvTbl[[#This Row],[F]]+SolvTbl[[#This Row],[N]]+SolvTbl[[#This Row],[S]]+SolvTbl[[#This Row],[P]]+SolvTbl[[#This Row],[B/Cl/As/Si etc.]]</f>
        <v>5</v>
      </c>
    </row>
    <row r="67" spans="1:14" x14ac:dyDescent="0.25">
      <c r="A67" s="1" t="s">
        <v>68</v>
      </c>
      <c r="B67" s="1" t="s">
        <v>227</v>
      </c>
      <c r="C67" s="1">
        <v>4</v>
      </c>
      <c r="D67" s="1">
        <v>5</v>
      </c>
      <c r="E67" s="1">
        <v>3</v>
      </c>
      <c r="F67" s="1">
        <v>3</v>
      </c>
      <c r="G67" s="1"/>
      <c r="H67" s="1"/>
      <c r="I67" s="1"/>
      <c r="J67" s="1"/>
      <c r="K67" s="1">
        <f t="shared" si="3"/>
        <v>158.07999999999998</v>
      </c>
      <c r="L67" s="1">
        <v>1.3</v>
      </c>
      <c r="M67" s="1">
        <f t="shared" si="1"/>
        <v>8.2236842105263168</v>
      </c>
      <c r="N67" s="1">
        <f>SolvTbl[[#This Row],[C]]+SolvTbl[[#This Row],[H]]+SolvTbl[[#This Row],[O]]+SolvTbl[[#This Row],[F]]+SolvTbl[[#This Row],[N]]+SolvTbl[[#This Row],[S]]+SolvTbl[[#This Row],[P]]+SolvTbl[[#This Row],[B/Cl/As/Si etc.]]</f>
        <v>15</v>
      </c>
    </row>
    <row r="68" spans="1:14" x14ac:dyDescent="0.25">
      <c r="A68" s="1" t="s">
        <v>75</v>
      </c>
      <c r="B68" s="1" t="s">
        <v>228</v>
      </c>
      <c r="C68" s="1">
        <v>6</v>
      </c>
      <c r="D68" s="1">
        <v>9</v>
      </c>
      <c r="E68" s="1">
        <v>4</v>
      </c>
      <c r="F68" s="1">
        <v>3</v>
      </c>
      <c r="G68" s="1"/>
      <c r="H68" s="1"/>
      <c r="I68" s="1"/>
      <c r="J68" s="1"/>
      <c r="K68" s="1">
        <f t="shared" si="3"/>
        <v>202.13200000000001</v>
      </c>
      <c r="L68" s="1">
        <v>1.33</v>
      </c>
      <c r="M68" s="1">
        <f t="shared" si="1"/>
        <v>6.5798587061919935</v>
      </c>
      <c r="N68" s="1">
        <f>SolvTbl[[#This Row],[C]]+SolvTbl[[#This Row],[H]]+SolvTbl[[#This Row],[O]]+SolvTbl[[#This Row],[F]]+SolvTbl[[#This Row],[N]]+SolvTbl[[#This Row],[S]]+SolvTbl[[#This Row],[P]]+SolvTbl[[#This Row],[B/Cl/As/Si etc.]]</f>
        <v>22</v>
      </c>
    </row>
    <row r="69" spans="1:14" x14ac:dyDescent="0.25">
      <c r="A69" s="1" t="s">
        <v>74</v>
      </c>
      <c r="B69" s="1" t="s">
        <v>229</v>
      </c>
      <c r="C69" s="1">
        <v>5</v>
      </c>
      <c r="D69" s="1">
        <v>6</v>
      </c>
      <c r="E69" s="1">
        <v>3</v>
      </c>
      <c r="F69" s="1">
        <v>3</v>
      </c>
      <c r="G69" s="1"/>
      <c r="H69" s="1"/>
      <c r="I69" s="1"/>
      <c r="J69" s="1"/>
      <c r="K69" s="1">
        <f t="shared" si="3"/>
        <v>171.09800000000001</v>
      </c>
      <c r="L69" s="1">
        <v>1.3</v>
      </c>
      <c r="M69" s="1">
        <f t="shared" si="1"/>
        <v>7.5979847806520233</v>
      </c>
      <c r="N69" s="1">
        <f>SolvTbl[[#This Row],[C]]+SolvTbl[[#This Row],[H]]+SolvTbl[[#This Row],[O]]+SolvTbl[[#This Row],[F]]+SolvTbl[[#This Row],[N]]+SolvTbl[[#This Row],[S]]+SolvTbl[[#This Row],[P]]+SolvTbl[[#This Row],[B/Cl/As/Si etc.]]</f>
        <v>17</v>
      </c>
    </row>
    <row r="70" spans="1:14" x14ac:dyDescent="0.25">
      <c r="A70" s="1" t="s">
        <v>45</v>
      </c>
      <c r="B70" s="1" t="s">
        <v>230</v>
      </c>
      <c r="C70" s="1">
        <v>6</v>
      </c>
      <c r="D70" s="1">
        <v>14</v>
      </c>
      <c r="E70" s="1">
        <v>2</v>
      </c>
      <c r="F70" s="1"/>
      <c r="G70" s="1"/>
      <c r="H70" s="1"/>
      <c r="I70" s="1"/>
      <c r="J70" s="1"/>
      <c r="K70" s="1">
        <f t="shared" si="3"/>
        <v>118.172</v>
      </c>
      <c r="L70" s="1">
        <v>0.8</v>
      </c>
      <c r="M70" s="1">
        <f t="shared" si="1"/>
        <v>6.7697931828182654</v>
      </c>
      <c r="N70" s="1">
        <f>SolvTbl[[#This Row],[C]]+SolvTbl[[#This Row],[H]]+SolvTbl[[#This Row],[O]]+SolvTbl[[#This Row],[F]]+SolvTbl[[#This Row],[N]]+SolvTbl[[#This Row],[S]]+SolvTbl[[#This Row],[P]]+SolvTbl[[#This Row],[B/Cl/As/Si etc.]]</f>
        <v>22</v>
      </c>
    </row>
    <row r="71" spans="1:14" x14ac:dyDescent="0.25">
      <c r="A71" s="1" t="s">
        <v>40</v>
      </c>
      <c r="B71" s="1" t="s">
        <v>231</v>
      </c>
      <c r="C71" s="1">
        <v>5</v>
      </c>
      <c r="D71" s="1">
        <v>12</v>
      </c>
      <c r="E71" s="1">
        <v>2</v>
      </c>
      <c r="F71" s="1"/>
      <c r="G71" s="1"/>
      <c r="H71" s="1"/>
      <c r="I71" s="1"/>
      <c r="J71" s="1"/>
      <c r="K71" s="1">
        <f t="shared" si="3"/>
        <v>104.146</v>
      </c>
      <c r="L71" s="1">
        <v>0.8</v>
      </c>
      <c r="M71" s="1">
        <f t="shared" si="1"/>
        <v>7.6815240143644496</v>
      </c>
      <c r="N71" s="1">
        <f>SolvTbl[[#This Row],[C]]+SolvTbl[[#This Row],[H]]+SolvTbl[[#This Row],[O]]+SolvTbl[[#This Row],[F]]+SolvTbl[[#This Row],[N]]+SolvTbl[[#This Row],[S]]+SolvTbl[[#This Row],[P]]+SolvTbl[[#This Row],[B/Cl/As/Si etc.]]</f>
        <v>19</v>
      </c>
    </row>
    <row r="72" spans="1:14" x14ac:dyDescent="0.25">
      <c r="A72" s="1" t="s">
        <v>48</v>
      </c>
      <c r="B72" s="1" t="s">
        <v>232</v>
      </c>
      <c r="C72" s="1">
        <v>6</v>
      </c>
      <c r="D72" s="1">
        <v>14</v>
      </c>
      <c r="E72" s="1">
        <v>3</v>
      </c>
      <c r="F72" s="1"/>
      <c r="G72" s="1"/>
      <c r="H72" s="1"/>
      <c r="I72" s="1"/>
      <c r="J72" s="1"/>
      <c r="K72" s="1">
        <f t="shared" si="3"/>
        <v>134.172</v>
      </c>
      <c r="L72" s="1">
        <v>0.94499999999999995</v>
      </c>
      <c r="M72" s="1">
        <f t="shared" si="1"/>
        <v>7.043198282801181</v>
      </c>
      <c r="N72" s="1">
        <f>SolvTbl[[#This Row],[C]]+SolvTbl[[#This Row],[H]]+SolvTbl[[#This Row],[O]]+SolvTbl[[#This Row],[F]]+SolvTbl[[#This Row],[N]]+SolvTbl[[#This Row],[S]]+SolvTbl[[#This Row],[P]]+SolvTbl[[#This Row],[B/Cl/As/Si etc.]]</f>
        <v>23</v>
      </c>
    </row>
    <row r="73" spans="1:14" x14ac:dyDescent="0.25">
      <c r="A73" s="1" t="s">
        <v>44</v>
      </c>
      <c r="B73" s="1" t="s">
        <v>233</v>
      </c>
      <c r="C73" s="1">
        <v>16</v>
      </c>
      <c r="D73" s="1">
        <v>26</v>
      </c>
      <c r="E73" s="1">
        <v>8</v>
      </c>
      <c r="F73" s="1">
        <v>8</v>
      </c>
      <c r="G73" s="1"/>
      <c r="H73" s="1"/>
      <c r="I73" s="1"/>
      <c r="J73" s="1"/>
      <c r="K73" s="1">
        <f t="shared" si="3"/>
        <v>498.36799999999999</v>
      </c>
      <c r="L73" s="1">
        <v>1.3</v>
      </c>
      <c r="M73" s="1">
        <f t="shared" si="1"/>
        <v>2.6085141903171953</v>
      </c>
      <c r="N73" s="1">
        <f>SolvTbl[[#This Row],[C]]+SolvTbl[[#This Row],[H]]+SolvTbl[[#This Row],[O]]+SolvTbl[[#This Row],[F]]+SolvTbl[[#This Row],[N]]+SolvTbl[[#This Row],[S]]+SolvTbl[[#This Row],[P]]+SolvTbl[[#This Row],[B/Cl/As/Si etc.]]</f>
        <v>58</v>
      </c>
    </row>
    <row r="74" spans="1:14" x14ac:dyDescent="0.25">
      <c r="A74" s="1" t="s">
        <v>50</v>
      </c>
      <c r="B74" s="1" t="s">
        <v>234</v>
      </c>
      <c r="C74" s="1">
        <v>8</v>
      </c>
      <c r="D74" s="1">
        <v>18</v>
      </c>
      <c r="E74" s="1">
        <v>4</v>
      </c>
      <c r="F74" s="1"/>
      <c r="G74" s="1"/>
      <c r="H74" s="1"/>
      <c r="I74" s="1"/>
      <c r="J74" s="1"/>
      <c r="K74" s="1">
        <f t="shared" si="3"/>
        <v>178.22399999999999</v>
      </c>
      <c r="L74" s="1">
        <v>0.99</v>
      </c>
      <c r="M74" s="1">
        <f t="shared" si="1"/>
        <v>5.5548074333423108</v>
      </c>
      <c r="N74" s="1">
        <f>SolvTbl[[#This Row],[C]]+SolvTbl[[#This Row],[H]]+SolvTbl[[#This Row],[O]]+SolvTbl[[#This Row],[F]]+SolvTbl[[#This Row],[N]]+SolvTbl[[#This Row],[S]]+SolvTbl[[#This Row],[P]]+SolvTbl[[#This Row],[B/Cl/As/Si etc.]]</f>
        <v>30</v>
      </c>
    </row>
    <row r="75" spans="1:14" x14ac:dyDescent="0.25">
      <c r="A75" s="1" t="s">
        <v>21</v>
      </c>
      <c r="B75" s="1" t="s">
        <v>235</v>
      </c>
      <c r="C75" s="1">
        <v>3</v>
      </c>
      <c r="D75" s="1">
        <v>8</v>
      </c>
      <c r="E75" s="1">
        <v>2</v>
      </c>
      <c r="F75" s="1"/>
      <c r="G75" s="1"/>
      <c r="H75" s="1"/>
      <c r="I75" s="1"/>
      <c r="J75" s="1"/>
      <c r="K75" s="1">
        <f t="shared" si="3"/>
        <v>76.093999999999994</v>
      </c>
      <c r="L75" s="1">
        <v>0.86</v>
      </c>
      <c r="M75" s="1">
        <f t="shared" si="1"/>
        <v>11.301810918075013</v>
      </c>
      <c r="N75" s="1">
        <f>SolvTbl[[#This Row],[C]]+SolvTbl[[#This Row],[H]]+SolvTbl[[#This Row],[O]]+SolvTbl[[#This Row],[F]]+SolvTbl[[#This Row],[N]]+SolvTbl[[#This Row],[S]]+SolvTbl[[#This Row],[P]]+SolvTbl[[#This Row],[B/Cl/As/Si etc.]]</f>
        <v>13</v>
      </c>
    </row>
    <row r="76" spans="1:14" x14ac:dyDescent="0.25">
      <c r="A76" s="1" t="s">
        <v>63</v>
      </c>
      <c r="B76" s="1" t="s">
        <v>236</v>
      </c>
      <c r="C76" s="1">
        <v>4</v>
      </c>
      <c r="D76" s="1">
        <v>12</v>
      </c>
      <c r="E76" s="1">
        <v>2</v>
      </c>
      <c r="F76" s="1"/>
      <c r="G76" s="1"/>
      <c r="H76" s="1"/>
      <c r="I76" s="1"/>
      <c r="J76" s="1">
        <v>1</v>
      </c>
      <c r="K76" s="1">
        <f t="shared" si="3"/>
        <v>102.947</v>
      </c>
      <c r="L76" s="1">
        <v>0.86699999999999999</v>
      </c>
      <c r="M76" s="1">
        <f t="shared" si="1"/>
        <v>8.4218092805035596</v>
      </c>
      <c r="N76" s="1">
        <f>SolvTbl[[#This Row],[C]]+SolvTbl[[#This Row],[H]]+SolvTbl[[#This Row],[O]]+SolvTbl[[#This Row],[F]]+SolvTbl[[#This Row],[N]]+SolvTbl[[#This Row],[S]]+SolvTbl[[#This Row],[P]]+SolvTbl[[#This Row],[B/Cl/As/Si etc.]]</f>
        <v>19</v>
      </c>
    </row>
    <row r="77" spans="1:14" x14ac:dyDescent="0.25">
      <c r="A77" s="1" t="s">
        <v>32</v>
      </c>
      <c r="B77" s="1" t="s">
        <v>237</v>
      </c>
      <c r="C77" s="1">
        <v>7</v>
      </c>
      <c r="D77" s="1">
        <v>7</v>
      </c>
      <c r="E77" s="1">
        <v>3</v>
      </c>
      <c r="F77" s="1">
        <v>9</v>
      </c>
      <c r="G77" s="1"/>
      <c r="H77" s="1"/>
      <c r="I77" s="1"/>
      <c r="J77" s="1"/>
      <c r="K77" s="1">
        <f t="shared" si="3"/>
        <v>310.12599999999998</v>
      </c>
      <c r="L77" s="1">
        <v>1.5</v>
      </c>
      <c r="M77" s="1">
        <f t="shared" si="1"/>
        <v>4.8367437751107625</v>
      </c>
      <c r="N77" s="1">
        <f>SolvTbl[[#This Row],[C]]+SolvTbl[[#This Row],[H]]+SolvTbl[[#This Row],[O]]+SolvTbl[[#This Row],[F]]+SolvTbl[[#This Row],[N]]+SolvTbl[[#This Row],[S]]+SolvTbl[[#This Row],[P]]+SolvTbl[[#This Row],[B/Cl/As/Si etc.]]</f>
        <v>26</v>
      </c>
    </row>
    <row r="78" spans="1:14" x14ac:dyDescent="0.25">
      <c r="A78" s="1" t="s">
        <v>31</v>
      </c>
      <c r="B78" s="1" t="s">
        <v>238</v>
      </c>
      <c r="C78" s="1">
        <v>4</v>
      </c>
      <c r="D78" s="1">
        <v>4</v>
      </c>
      <c r="E78" s="1">
        <v>1</v>
      </c>
      <c r="F78" s="1">
        <v>6</v>
      </c>
      <c r="G78" s="1"/>
      <c r="H78" s="1"/>
      <c r="I78" s="1"/>
      <c r="J78" s="1"/>
      <c r="K78" s="1">
        <f t="shared" si="3"/>
        <v>182.072</v>
      </c>
      <c r="L78" s="1">
        <v>1.4</v>
      </c>
      <c r="M78" s="1">
        <f t="shared" ref="M78:M87" si="4">L78/K78*1000</f>
        <v>7.6892657849641894</v>
      </c>
      <c r="N78" s="1">
        <f>SolvTbl[[#This Row],[C]]+SolvTbl[[#This Row],[H]]+SolvTbl[[#This Row],[O]]+SolvTbl[[#This Row],[F]]+SolvTbl[[#This Row],[N]]+SolvTbl[[#This Row],[S]]+SolvTbl[[#This Row],[P]]+SolvTbl[[#This Row],[B/Cl/As/Si etc.]]</f>
        <v>15</v>
      </c>
    </row>
    <row r="79" spans="1:14" x14ac:dyDescent="0.25">
      <c r="A79" s="1" t="s">
        <v>54</v>
      </c>
      <c r="B79" s="1" t="s">
        <v>239</v>
      </c>
      <c r="C79" s="1">
        <v>6</v>
      </c>
      <c r="D79" s="1">
        <v>8</v>
      </c>
      <c r="E79" s="1">
        <v>2</v>
      </c>
      <c r="F79" s="1">
        <v>6</v>
      </c>
      <c r="G79" s="1"/>
      <c r="H79" s="1"/>
      <c r="I79" s="1"/>
      <c r="J79" s="1"/>
      <c r="K79" s="1">
        <f t="shared" si="3"/>
        <v>226.124</v>
      </c>
      <c r="L79" s="1">
        <v>1.3</v>
      </c>
      <c r="M79" s="1">
        <f t="shared" si="4"/>
        <v>5.7490580389520796</v>
      </c>
      <c r="N79" s="1">
        <f>SolvTbl[[#This Row],[C]]+SolvTbl[[#This Row],[H]]+SolvTbl[[#This Row],[O]]+SolvTbl[[#This Row],[F]]+SolvTbl[[#This Row],[N]]+SolvTbl[[#This Row],[S]]+SolvTbl[[#This Row],[P]]+SolvTbl[[#This Row],[B/Cl/As/Si etc.]]</f>
        <v>22</v>
      </c>
    </row>
    <row r="80" spans="1:14" x14ac:dyDescent="0.25">
      <c r="A80" s="1" t="s">
        <v>251</v>
      </c>
      <c r="B80" s="1" t="s">
        <v>240</v>
      </c>
      <c r="C80" s="1">
        <v>4</v>
      </c>
      <c r="D80" s="1">
        <v>3</v>
      </c>
      <c r="E80" s="1">
        <v>1</v>
      </c>
      <c r="F80" s="1">
        <v>7</v>
      </c>
      <c r="K80" s="1">
        <f t="shared" si="3"/>
        <v>200.06399999999999</v>
      </c>
      <c r="L80" s="1">
        <v>1.4870000000000001</v>
      </c>
      <c r="M80" s="1">
        <f t="shared" si="4"/>
        <v>7.4326215611004489</v>
      </c>
      <c r="N80" s="1">
        <f>SolvTbl[[#This Row],[C]]+SolvTbl[[#This Row],[H]]+SolvTbl[[#This Row],[O]]+SolvTbl[[#This Row],[F]]+SolvTbl[[#This Row],[N]]+SolvTbl[[#This Row],[S]]+SolvTbl[[#This Row],[P]]+SolvTbl[[#This Row],[B/Cl/As/Si etc.]]</f>
        <v>15</v>
      </c>
    </row>
    <row r="81" spans="1:14" x14ac:dyDescent="0.25">
      <c r="A81" s="1" t="s">
        <v>56</v>
      </c>
      <c r="B81" s="1" t="s">
        <v>241</v>
      </c>
      <c r="C81" s="1">
        <v>6</v>
      </c>
      <c r="D81" s="1">
        <v>9</v>
      </c>
      <c r="E81" s="1">
        <v>2</v>
      </c>
      <c r="F81" s="1">
        <v>5</v>
      </c>
      <c r="K81" s="1">
        <f t="shared" si="3"/>
        <v>208.13200000000001</v>
      </c>
      <c r="L81" s="1">
        <v>1.35</v>
      </c>
      <c r="M81" s="1">
        <f t="shared" si="4"/>
        <v>6.4862683297138357</v>
      </c>
      <c r="N81" s="1">
        <f>SolvTbl[[#This Row],[C]]+SolvTbl[[#This Row],[H]]+SolvTbl[[#This Row],[O]]+SolvTbl[[#This Row],[F]]+SolvTbl[[#This Row],[N]]+SolvTbl[[#This Row],[S]]+SolvTbl[[#This Row],[P]]+SolvTbl[[#This Row],[B/Cl/As/Si etc.]]</f>
        <v>22</v>
      </c>
    </row>
    <row r="82" spans="1:14" x14ac:dyDescent="0.25">
      <c r="A82" s="1" t="s">
        <v>55</v>
      </c>
      <c r="B82" s="1" t="s">
        <v>242</v>
      </c>
      <c r="C82" s="1">
        <v>6</v>
      </c>
      <c r="D82" s="1">
        <v>10</v>
      </c>
      <c r="E82" s="1">
        <v>2</v>
      </c>
      <c r="F82" s="1">
        <v>4</v>
      </c>
      <c r="K82" s="1">
        <f t="shared" si="3"/>
        <v>190.14</v>
      </c>
      <c r="L82" s="1">
        <v>1.2</v>
      </c>
      <c r="M82" s="1">
        <f t="shared" si="4"/>
        <v>6.3111391606184917</v>
      </c>
      <c r="N82" s="1">
        <f>SolvTbl[[#This Row],[C]]+SolvTbl[[#This Row],[H]]+SolvTbl[[#This Row],[O]]+SolvTbl[[#This Row],[F]]+SolvTbl[[#This Row],[N]]+SolvTbl[[#This Row],[S]]+SolvTbl[[#This Row],[P]]+SolvTbl[[#This Row],[B/Cl/As/Si etc.]]</f>
        <v>22</v>
      </c>
    </row>
    <row r="83" spans="1:14" x14ac:dyDescent="0.25">
      <c r="A83" s="1" t="s">
        <v>43</v>
      </c>
      <c r="B83" s="1" t="s">
        <v>243</v>
      </c>
      <c r="C83" s="1">
        <v>5</v>
      </c>
      <c r="D83" s="1">
        <v>4</v>
      </c>
      <c r="E83" s="1">
        <v>3</v>
      </c>
      <c r="F83" s="1">
        <v>6</v>
      </c>
      <c r="K83" s="1">
        <f t="shared" si="3"/>
        <v>226.08199999999999</v>
      </c>
      <c r="L83" s="1">
        <v>1.5</v>
      </c>
      <c r="M83" s="1">
        <f t="shared" si="4"/>
        <v>6.6347608389876243</v>
      </c>
      <c r="N83" s="1">
        <f>SolvTbl[[#This Row],[C]]+SolvTbl[[#This Row],[H]]+SolvTbl[[#This Row],[O]]+SolvTbl[[#This Row],[F]]+SolvTbl[[#This Row],[N]]+SolvTbl[[#This Row],[S]]+SolvTbl[[#This Row],[P]]+SolvTbl[[#This Row],[B/Cl/As/Si etc.]]</f>
        <v>18</v>
      </c>
    </row>
    <row r="84" spans="1:14" x14ac:dyDescent="0.25">
      <c r="A84" s="1" t="s">
        <v>58</v>
      </c>
      <c r="B84" s="1" t="s">
        <v>244</v>
      </c>
      <c r="C84" s="1">
        <v>3</v>
      </c>
      <c r="D84" s="1">
        <v>2</v>
      </c>
      <c r="E84" s="1">
        <v>3</v>
      </c>
      <c r="F84" s="1">
        <v>2</v>
      </c>
      <c r="K84" s="1">
        <f t="shared" si="3"/>
        <v>124.04599999999999</v>
      </c>
      <c r="L84" s="1">
        <v>1.734</v>
      </c>
      <c r="M84" s="1">
        <f t="shared" si="4"/>
        <v>13.978685326411171</v>
      </c>
      <c r="N84" s="1">
        <f>SolvTbl[[#This Row],[C]]+SolvTbl[[#This Row],[H]]+SolvTbl[[#This Row],[O]]+SolvTbl[[#This Row],[F]]+SolvTbl[[#This Row],[N]]+SolvTbl[[#This Row],[S]]+SolvTbl[[#This Row],[P]]+SolvTbl[[#This Row],[B/Cl/As/Si etc.]]</f>
        <v>10</v>
      </c>
    </row>
    <row r="85" spans="1:14" x14ac:dyDescent="0.25">
      <c r="A85" s="1" t="s">
        <v>59</v>
      </c>
      <c r="B85" s="1" t="s">
        <v>245</v>
      </c>
      <c r="C85" s="1">
        <v>4</v>
      </c>
      <c r="D85" s="1">
        <v>3</v>
      </c>
      <c r="E85" s="1">
        <v>3</v>
      </c>
      <c r="F85" s="1">
        <v>3</v>
      </c>
      <c r="K85" s="1">
        <f t="shared" si="3"/>
        <v>156.06399999999999</v>
      </c>
      <c r="L85" s="1">
        <v>1.6</v>
      </c>
      <c r="M85" s="1">
        <f t="shared" si="4"/>
        <v>10.252204223908141</v>
      </c>
      <c r="N85" s="1">
        <f>SolvTbl[[#This Row],[C]]+SolvTbl[[#This Row],[H]]+SolvTbl[[#This Row],[O]]+SolvTbl[[#This Row],[F]]+SolvTbl[[#This Row],[N]]+SolvTbl[[#This Row],[S]]+SolvTbl[[#This Row],[P]]+SolvTbl[[#This Row],[B/Cl/As/Si etc.]]</f>
        <v>13</v>
      </c>
    </row>
    <row r="86" spans="1:14" x14ac:dyDescent="0.25">
      <c r="A86" s="1" t="s">
        <v>24</v>
      </c>
      <c r="B86" s="1" t="s">
        <v>246</v>
      </c>
      <c r="C86" s="1">
        <v>3</v>
      </c>
      <c r="D86" s="1">
        <v>3</v>
      </c>
      <c r="E86" s="1">
        <v>3</v>
      </c>
      <c r="F86" s="1">
        <v>1</v>
      </c>
      <c r="K86" s="1">
        <f t="shared" si="3"/>
        <v>106.054</v>
      </c>
      <c r="L86" s="1">
        <v>1.454</v>
      </c>
      <c r="M86" s="1">
        <f t="shared" si="4"/>
        <v>13.709996794086031</v>
      </c>
      <c r="N86" s="1">
        <f>SolvTbl[[#This Row],[C]]+SolvTbl[[#This Row],[H]]+SolvTbl[[#This Row],[O]]+SolvTbl[[#This Row],[F]]+SolvTbl[[#This Row],[N]]+SolvTbl[[#This Row],[S]]+SolvTbl[[#This Row],[P]]+SolvTbl[[#This Row],[B/Cl/As/Si etc.]]</f>
        <v>10</v>
      </c>
    </row>
    <row r="87" spans="1:14" x14ac:dyDescent="0.25">
      <c r="A87" s="1" t="s">
        <v>19</v>
      </c>
      <c r="B87" s="1" t="s">
        <v>247</v>
      </c>
      <c r="C87" s="1">
        <v>3</v>
      </c>
      <c r="D87" s="1">
        <v>4</v>
      </c>
      <c r="E87" s="1">
        <v>3</v>
      </c>
      <c r="K87" s="1">
        <f t="shared" si="3"/>
        <v>88.061999999999998</v>
      </c>
      <c r="L87" s="1">
        <v>1.32</v>
      </c>
      <c r="M87" s="1">
        <f t="shared" si="4"/>
        <v>14.989439258704097</v>
      </c>
      <c r="N87" s="1">
        <f>SolvTbl[[#This Row],[C]]+SolvTbl[[#This Row],[H]]+SolvTbl[[#This Row],[O]]+SolvTbl[[#This Row],[F]]+SolvTbl[[#This Row],[N]]+SolvTbl[[#This Row],[S]]+SolvTbl[[#This Row],[P]]+SolvTbl[[#This Row],[B/Cl/As/Si etc.]]</f>
        <v>10</v>
      </c>
    </row>
    <row r="88" spans="1:14" x14ac:dyDescent="0.25">
      <c r="A88" s="1" t="s">
        <v>26</v>
      </c>
      <c r="B88" s="1" t="s">
        <v>248</v>
      </c>
      <c r="C88" s="1">
        <v>1</v>
      </c>
      <c r="E88" s="1">
        <v>2</v>
      </c>
      <c r="K88" s="1">
        <f t="shared" si="3"/>
        <v>44.01</v>
      </c>
      <c r="L88" s="1">
        <v>0.92800000000000005</v>
      </c>
      <c r="M88" s="1">
        <f>L88/K88*1000</f>
        <v>21.086116791638268</v>
      </c>
      <c r="N88" s="1">
        <f>SolvTbl[[#This Row],[C]]+SolvTbl[[#This Row],[H]]+SolvTbl[[#This Row],[O]]+SolvTbl[[#This Row],[F]]+SolvTbl[[#This Row],[N]]+SolvTbl[[#This Row],[S]]+SolvTbl[[#This Row],[P]]+SolvTbl[[#This Row],[B/Cl/As/Si etc.]]</f>
        <v>3</v>
      </c>
    </row>
    <row r="89" spans="1:14" x14ac:dyDescent="0.25">
      <c r="A89" s="1" t="s">
        <v>41</v>
      </c>
      <c r="B89" s="1" t="s">
        <v>249</v>
      </c>
      <c r="C89" s="1">
        <v>3</v>
      </c>
      <c r="D89" s="1">
        <v>2</v>
      </c>
      <c r="E89" s="1">
        <v>3</v>
      </c>
      <c r="K89" s="1">
        <f t="shared" si="3"/>
        <v>86.045999999999992</v>
      </c>
      <c r="L89" s="1">
        <v>1.355</v>
      </c>
      <c r="M89" s="1">
        <f>L89/K89*1000</f>
        <v>15.747390930432561</v>
      </c>
      <c r="N89" s="1">
        <f>SolvTbl[[#This Row],[C]]+SolvTbl[[#This Row],[H]]+SolvTbl[[#This Row],[O]]+SolvTbl[[#This Row],[F]]+SolvTbl[[#This Row],[N]]+SolvTbl[[#This Row],[S]]+SolvTbl[[#This Row],[P]]+SolvTbl[[#This Row],[B/Cl/As/Si etc.]]</f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workbookViewId="0">
      <selection sqref="A1:A1048576"/>
    </sheetView>
  </sheetViews>
  <sheetFormatPr baseColWidth="10" defaultRowHeight="15" x14ac:dyDescent="0.25"/>
  <cols>
    <col min="1" max="1" width="81" bestFit="1" customWidth="1"/>
    <col min="11" max="12" width="17.28515625" customWidth="1"/>
  </cols>
  <sheetData>
    <row r="1" spans="1:12" x14ac:dyDescent="0.25">
      <c r="A1" s="1" t="s">
        <v>163</v>
      </c>
      <c r="B1" s="1" t="s">
        <v>207</v>
      </c>
      <c r="C1" s="1" t="s">
        <v>174</v>
      </c>
      <c r="D1" s="1" t="s">
        <v>173</v>
      </c>
      <c r="E1" s="1" t="s">
        <v>172</v>
      </c>
      <c r="F1" s="1" t="s">
        <v>171</v>
      </c>
      <c r="G1" s="1" t="s">
        <v>170</v>
      </c>
      <c r="H1" s="1" t="s">
        <v>169</v>
      </c>
      <c r="I1" s="1" t="s">
        <v>168</v>
      </c>
      <c r="J1" s="1" t="s">
        <v>206</v>
      </c>
      <c r="K1" s="1" t="s">
        <v>167</v>
      </c>
      <c r="L1" s="1" t="s">
        <v>208</v>
      </c>
    </row>
    <row r="2" spans="1:12" x14ac:dyDescent="0.25">
      <c r="A2" s="1" t="s">
        <v>22</v>
      </c>
      <c r="B2" s="1" t="s">
        <v>205</v>
      </c>
      <c r="C2" s="1"/>
      <c r="D2" s="1"/>
      <c r="E2" s="1">
        <v>4</v>
      </c>
      <c r="F2" s="1">
        <v>2</v>
      </c>
      <c r="G2" s="1">
        <v>1</v>
      </c>
      <c r="H2" s="1">
        <v>2</v>
      </c>
      <c r="I2" s="1"/>
      <c r="J2" s="1">
        <v>1</v>
      </c>
      <c r="K2" s="1"/>
      <c r="L2" s="1">
        <f>SaltTbl[[#This Row],[C]]+SaltTbl[[#This Row],[H]]+SaltTbl[[#This Row],[O]]+SaltTbl[[#This Row],[F]]+SaltTbl[[#This Row],[N]]+SaltTbl[[#This Row],[S]]+SaltTbl[[#This Row],[P]]+SaltTbl[[#This Row],[Li]]+SaltTbl[[#This Row],[B/Cl/As/Si etc.]]</f>
        <v>10</v>
      </c>
    </row>
    <row r="3" spans="1:12" x14ac:dyDescent="0.25">
      <c r="A3" s="1" t="s">
        <v>29</v>
      </c>
      <c r="B3" s="1" t="s">
        <v>204</v>
      </c>
      <c r="C3" s="1"/>
      <c r="D3" s="1"/>
      <c r="E3" s="1"/>
      <c r="F3" s="1">
        <v>6</v>
      </c>
      <c r="G3" s="1"/>
      <c r="H3" s="1"/>
      <c r="I3" s="1">
        <v>1</v>
      </c>
      <c r="J3" s="1">
        <v>1</v>
      </c>
      <c r="K3" s="1"/>
      <c r="L3" s="1">
        <f>SaltTbl[[#This Row],[C]]+SaltTbl[[#This Row],[H]]+SaltTbl[[#This Row],[O]]+SaltTbl[[#This Row],[F]]+SaltTbl[[#This Row],[N]]+SaltTbl[[#This Row],[S]]+SaltTbl[[#This Row],[P]]+SaltTbl[[#This Row],[Li]]+SaltTbl[[#This Row],[B/Cl/As/Si etc.]]</f>
        <v>8</v>
      </c>
    </row>
    <row r="4" spans="1:12" x14ac:dyDescent="0.25">
      <c r="A4" s="1" t="s">
        <v>23</v>
      </c>
      <c r="B4" s="1" t="s">
        <v>203</v>
      </c>
      <c r="C4" s="1">
        <v>2</v>
      </c>
      <c r="D4" s="1"/>
      <c r="E4" s="1">
        <v>4</v>
      </c>
      <c r="F4" s="1">
        <v>6</v>
      </c>
      <c r="G4" s="1">
        <v>1</v>
      </c>
      <c r="H4" s="1">
        <v>2</v>
      </c>
      <c r="I4" s="1"/>
      <c r="J4" s="1">
        <v>1</v>
      </c>
      <c r="K4" s="1"/>
      <c r="L4" s="1">
        <f>SaltTbl[[#This Row],[C]]+SaltTbl[[#This Row],[H]]+SaltTbl[[#This Row],[O]]+SaltTbl[[#This Row],[F]]+SaltTbl[[#This Row],[N]]+SaltTbl[[#This Row],[S]]+SaltTbl[[#This Row],[P]]+SaltTbl[[#This Row],[Li]]+SaltTbl[[#This Row],[B/Cl/As/Si etc.]]</f>
        <v>16</v>
      </c>
    </row>
    <row r="5" spans="1:12" x14ac:dyDescent="0.25">
      <c r="A5" s="1" t="s">
        <v>201</v>
      </c>
      <c r="B5" s="1" t="s">
        <v>202</v>
      </c>
      <c r="C5" s="1">
        <v>4</v>
      </c>
      <c r="D5" s="1"/>
      <c r="E5" s="1">
        <v>8</v>
      </c>
      <c r="F5" s="1"/>
      <c r="G5" s="1"/>
      <c r="H5" s="1"/>
      <c r="I5" s="1"/>
      <c r="J5" s="1">
        <v>1</v>
      </c>
      <c r="K5" s="1">
        <v>1</v>
      </c>
      <c r="L5" s="1">
        <f>SaltTbl[[#This Row],[C]]+SaltTbl[[#This Row],[H]]+SaltTbl[[#This Row],[O]]+SaltTbl[[#This Row],[F]]+SaltTbl[[#This Row],[N]]+SaltTbl[[#This Row],[S]]+SaltTbl[[#This Row],[P]]+SaltTbl[[#This Row],[Li]]+SaltTbl[[#This Row],[B/Cl/As/Si etc.]]</f>
        <v>14</v>
      </c>
    </row>
    <row r="6" spans="1:12" x14ac:dyDescent="0.25">
      <c r="A6" s="1" t="s">
        <v>199</v>
      </c>
      <c r="B6" s="1" t="s">
        <v>200</v>
      </c>
      <c r="C6" s="1"/>
      <c r="D6" s="1"/>
      <c r="E6" s="1">
        <v>2</v>
      </c>
      <c r="F6" s="1">
        <v>2</v>
      </c>
      <c r="G6" s="1"/>
      <c r="H6" s="1"/>
      <c r="I6" s="1">
        <v>1</v>
      </c>
      <c r="J6" s="1">
        <v>1</v>
      </c>
      <c r="K6" s="1"/>
      <c r="L6" s="1">
        <f>SaltTbl[[#This Row],[C]]+SaltTbl[[#This Row],[H]]+SaltTbl[[#This Row],[O]]+SaltTbl[[#This Row],[F]]+SaltTbl[[#This Row],[N]]+SaltTbl[[#This Row],[S]]+SaltTbl[[#This Row],[P]]+SaltTbl[[#This Row],[Li]]+SaltTbl[[#This Row],[B/Cl/As/Si etc.]]</f>
        <v>6</v>
      </c>
    </row>
    <row r="7" spans="1:12" x14ac:dyDescent="0.25">
      <c r="A7" s="1" t="s">
        <v>197</v>
      </c>
      <c r="B7" s="1" t="s">
        <v>198</v>
      </c>
      <c r="C7" s="1"/>
      <c r="D7" s="1"/>
      <c r="E7" s="1">
        <v>3</v>
      </c>
      <c r="F7" s="1"/>
      <c r="G7" s="1">
        <v>1</v>
      </c>
      <c r="H7" s="1"/>
      <c r="I7" s="1"/>
      <c r="J7" s="1">
        <v>1</v>
      </c>
      <c r="K7" s="1"/>
      <c r="L7" s="1">
        <f>SaltTbl[[#This Row],[C]]+SaltTbl[[#This Row],[H]]+SaltTbl[[#This Row],[O]]+SaltTbl[[#This Row],[F]]+SaltTbl[[#This Row],[N]]+SaltTbl[[#This Row],[S]]+SaltTbl[[#This Row],[P]]+SaltTbl[[#This Row],[Li]]+SaltTbl[[#This Row],[B/Cl/As/Si etc.]]</f>
        <v>5</v>
      </c>
    </row>
    <row r="8" spans="1:12" x14ac:dyDescent="0.25">
      <c r="A8" s="1" t="s">
        <v>195</v>
      </c>
      <c r="B8" s="1" t="s">
        <v>196</v>
      </c>
      <c r="C8" s="1">
        <v>2</v>
      </c>
      <c r="D8" s="1"/>
      <c r="E8" s="1">
        <v>4</v>
      </c>
      <c r="F8" s="1">
        <v>2</v>
      </c>
      <c r="G8" s="1"/>
      <c r="H8" s="1"/>
      <c r="I8" s="1"/>
      <c r="J8" s="1">
        <v>1</v>
      </c>
      <c r="K8" s="1">
        <v>1</v>
      </c>
      <c r="L8" s="1">
        <f>SaltTbl[[#This Row],[C]]+SaltTbl[[#This Row],[H]]+SaltTbl[[#This Row],[O]]+SaltTbl[[#This Row],[F]]+SaltTbl[[#This Row],[N]]+SaltTbl[[#This Row],[S]]+SaltTbl[[#This Row],[P]]+SaltTbl[[#This Row],[Li]]+SaltTbl[[#This Row],[B/Cl/As/Si etc.]]</f>
        <v>10</v>
      </c>
    </row>
    <row r="9" spans="1:12" x14ac:dyDescent="0.25">
      <c r="A9" s="1" t="s">
        <v>193</v>
      </c>
      <c r="B9" s="1" t="s">
        <v>194</v>
      </c>
      <c r="C9" s="1">
        <v>3</v>
      </c>
      <c r="D9" s="1"/>
      <c r="E9" s="1">
        <v>1</v>
      </c>
      <c r="F9" s="1">
        <v>12</v>
      </c>
      <c r="G9" s="1"/>
      <c r="H9" s="1"/>
      <c r="I9" s="1"/>
      <c r="J9" s="1">
        <v>1</v>
      </c>
      <c r="K9" s="1">
        <v>1</v>
      </c>
      <c r="L9" s="1">
        <f>SaltTbl[[#This Row],[C]]+SaltTbl[[#This Row],[H]]+SaltTbl[[#This Row],[O]]+SaltTbl[[#This Row],[F]]+SaltTbl[[#This Row],[N]]+SaltTbl[[#This Row],[S]]+SaltTbl[[#This Row],[P]]+SaltTbl[[#This Row],[Li]]+SaltTbl[[#This Row],[B/Cl/As/Si etc.]]</f>
        <v>18</v>
      </c>
    </row>
    <row r="10" spans="1:12" x14ac:dyDescent="0.25">
      <c r="A10" s="1" t="s">
        <v>66</v>
      </c>
      <c r="B10" s="1" t="s">
        <v>192</v>
      </c>
      <c r="C10" s="1"/>
      <c r="D10" s="1"/>
      <c r="E10" s="1"/>
      <c r="F10" s="1">
        <v>4</v>
      </c>
      <c r="G10" s="1"/>
      <c r="H10" s="1"/>
      <c r="I10" s="1"/>
      <c r="J10" s="1">
        <v>1</v>
      </c>
      <c r="K10" s="1">
        <v>1</v>
      </c>
      <c r="L10" s="1">
        <f>SaltTbl[[#This Row],[C]]+SaltTbl[[#This Row],[H]]+SaltTbl[[#This Row],[O]]+SaltTbl[[#This Row],[F]]+SaltTbl[[#This Row],[N]]+SaltTbl[[#This Row],[S]]+SaltTbl[[#This Row],[P]]+SaltTbl[[#This Row],[Li]]+SaltTbl[[#This Row],[B/Cl/As/Si etc.]]</f>
        <v>6</v>
      </c>
    </row>
    <row r="11" spans="1:12" x14ac:dyDescent="0.25">
      <c r="A11" s="1" t="s">
        <v>190</v>
      </c>
      <c r="B11" s="1" t="s">
        <v>191</v>
      </c>
      <c r="C11" s="1">
        <v>3</v>
      </c>
      <c r="D11" s="1"/>
      <c r="E11" s="1">
        <v>4</v>
      </c>
      <c r="F11" s="1">
        <v>10</v>
      </c>
      <c r="G11" s="1">
        <v>1</v>
      </c>
      <c r="H11" s="1">
        <v>2</v>
      </c>
      <c r="I11" s="1"/>
      <c r="J11" s="1">
        <v>1</v>
      </c>
      <c r="K11" s="1"/>
      <c r="L11" s="1">
        <f>SaltTbl[[#This Row],[C]]+SaltTbl[[#This Row],[H]]+SaltTbl[[#This Row],[O]]+SaltTbl[[#This Row],[F]]+SaltTbl[[#This Row],[N]]+SaltTbl[[#This Row],[S]]+SaltTbl[[#This Row],[P]]+SaltTbl[[#This Row],[Li]]+SaltTbl[[#This Row],[B/Cl/As/Si etc.]]</f>
        <v>21</v>
      </c>
    </row>
    <row r="12" spans="1:12" x14ac:dyDescent="0.25">
      <c r="A12" s="1" t="s">
        <v>188</v>
      </c>
      <c r="B12" s="1" t="s">
        <v>189</v>
      </c>
      <c r="C12" s="1"/>
      <c r="D12" s="1"/>
      <c r="E12" s="1">
        <v>2</v>
      </c>
      <c r="F12" s="1">
        <v>2</v>
      </c>
      <c r="G12" s="1"/>
      <c r="H12" s="1"/>
      <c r="I12" s="1">
        <v>1</v>
      </c>
      <c r="J12" s="1">
        <v>1</v>
      </c>
      <c r="K12" s="1"/>
      <c r="L12" s="1">
        <f>SaltTbl[[#This Row],[C]]+SaltTbl[[#This Row],[H]]+SaltTbl[[#This Row],[O]]+SaltTbl[[#This Row],[F]]+SaltTbl[[#This Row],[N]]+SaltTbl[[#This Row],[S]]+SaltTbl[[#This Row],[P]]+SaltTbl[[#This Row],[Li]]+SaltTbl[[#This Row],[B/Cl/As/Si etc.]]</f>
        <v>6</v>
      </c>
    </row>
    <row r="13" spans="1:12" x14ac:dyDescent="0.25">
      <c r="A13" s="1" t="s">
        <v>15</v>
      </c>
      <c r="B13" s="1" t="s">
        <v>187</v>
      </c>
      <c r="C13" s="1"/>
      <c r="D13" s="1"/>
      <c r="E13" s="1"/>
      <c r="F13" s="1">
        <v>6</v>
      </c>
      <c r="G13" s="1"/>
      <c r="H13" s="1"/>
      <c r="I13" s="1"/>
      <c r="J13" s="1">
        <v>1</v>
      </c>
      <c r="K13" s="1">
        <v>1</v>
      </c>
      <c r="L13" s="1">
        <f>SaltTbl[[#This Row],[C]]+SaltTbl[[#This Row],[H]]+SaltTbl[[#This Row],[O]]+SaltTbl[[#This Row],[F]]+SaltTbl[[#This Row],[N]]+SaltTbl[[#This Row],[S]]+SaltTbl[[#This Row],[P]]+SaltTbl[[#This Row],[Li]]+SaltTbl[[#This Row],[B/Cl/As/Si etc.]]</f>
        <v>8</v>
      </c>
    </row>
    <row r="14" spans="1:12" x14ac:dyDescent="0.25">
      <c r="A14" s="1" t="s">
        <v>13</v>
      </c>
      <c r="B14" s="1" t="s">
        <v>186</v>
      </c>
      <c r="C14" s="1"/>
      <c r="D14" s="1"/>
      <c r="E14" s="1">
        <v>4</v>
      </c>
      <c r="F14" s="1"/>
      <c r="G14" s="1"/>
      <c r="H14" s="1"/>
      <c r="I14" s="1"/>
      <c r="J14" s="1">
        <v>1</v>
      </c>
      <c r="K14" s="1">
        <v>1</v>
      </c>
      <c r="L14" s="1">
        <f>SaltTbl[[#This Row],[C]]+SaltTbl[[#This Row],[H]]+SaltTbl[[#This Row],[O]]+SaltTbl[[#This Row],[F]]+SaltTbl[[#This Row],[N]]+SaltTbl[[#This Row],[S]]+SaltTbl[[#This Row],[P]]+SaltTbl[[#This Row],[Li]]+SaltTbl[[#This Row],[B/Cl/As/Si etc.]]</f>
        <v>6</v>
      </c>
    </row>
    <row r="15" spans="1:12" x14ac:dyDescent="0.25">
      <c r="A15" s="1" t="s">
        <v>184</v>
      </c>
      <c r="B15" s="1" t="s">
        <v>185</v>
      </c>
      <c r="C15" s="1"/>
      <c r="D15" s="1"/>
      <c r="E15" s="1"/>
      <c r="F15" s="1"/>
      <c r="G15" s="1"/>
      <c r="H15" s="1">
        <v>5</v>
      </c>
      <c r="I15" s="1"/>
      <c r="J15" s="1">
        <v>2</v>
      </c>
      <c r="K15" s="1"/>
      <c r="L15" s="1">
        <f>SaltTbl[[#This Row],[C]]+SaltTbl[[#This Row],[H]]+SaltTbl[[#This Row],[O]]+SaltTbl[[#This Row],[F]]+SaltTbl[[#This Row],[N]]+SaltTbl[[#This Row],[S]]+SaltTbl[[#This Row],[P]]+SaltTbl[[#This Row],[Li]]+SaltTbl[[#This Row],[B/Cl/As/Si etc.]]</f>
        <v>7</v>
      </c>
    </row>
    <row r="16" spans="1:12" x14ac:dyDescent="0.25">
      <c r="A16" s="1" t="s">
        <v>182</v>
      </c>
      <c r="B16" s="1" t="s">
        <v>183</v>
      </c>
      <c r="C16" s="1">
        <v>7</v>
      </c>
      <c r="D16" s="1">
        <v>9</v>
      </c>
      <c r="E16" s="1">
        <v>4</v>
      </c>
      <c r="F16" s="1">
        <v>10</v>
      </c>
      <c r="G16" s="1"/>
      <c r="H16" s="1">
        <v>2</v>
      </c>
      <c r="I16" s="1"/>
      <c r="J16" s="1"/>
      <c r="K16" s="1">
        <v>1</v>
      </c>
      <c r="L16" s="1">
        <f>SaltTbl[[#This Row],[C]]+SaltTbl[[#This Row],[H]]+SaltTbl[[#This Row],[O]]+SaltTbl[[#This Row],[F]]+SaltTbl[[#This Row],[N]]+SaltTbl[[#This Row],[S]]+SaltTbl[[#This Row],[P]]+SaltTbl[[#This Row],[Li]]+SaltTbl[[#This Row],[B/Cl/As/Si etc.]]</f>
        <v>33</v>
      </c>
    </row>
    <row r="17" spans="1:12" x14ac:dyDescent="0.25">
      <c r="A17" s="1" t="s">
        <v>180</v>
      </c>
      <c r="B17" s="1" t="s">
        <v>181</v>
      </c>
      <c r="C17" s="1"/>
      <c r="D17" s="1"/>
      <c r="E17" s="1">
        <v>3</v>
      </c>
      <c r="F17" s="1"/>
      <c r="G17" s="1">
        <v>1</v>
      </c>
      <c r="H17" s="1"/>
      <c r="I17" s="1"/>
      <c r="J17" s="1"/>
      <c r="K17" s="1">
        <v>1</v>
      </c>
      <c r="L17" s="1">
        <f>SaltTbl[[#This Row],[C]]+SaltTbl[[#This Row],[H]]+SaltTbl[[#This Row],[O]]+SaltTbl[[#This Row],[F]]+SaltTbl[[#This Row],[N]]+SaltTbl[[#This Row],[S]]+SaltTbl[[#This Row],[P]]+SaltTbl[[#This Row],[Li]]+SaltTbl[[#This Row],[B/Cl/As/Si etc.]]</f>
        <v>5</v>
      </c>
    </row>
    <row r="18" spans="1:12" x14ac:dyDescent="0.25">
      <c r="A18" s="1" t="s">
        <v>178</v>
      </c>
      <c r="B18" s="1" t="s">
        <v>179</v>
      </c>
      <c r="C18" s="1">
        <v>4</v>
      </c>
      <c r="D18" s="1"/>
      <c r="E18" s="1">
        <v>4</v>
      </c>
      <c r="F18" s="1">
        <v>10</v>
      </c>
      <c r="G18" s="1">
        <v>1</v>
      </c>
      <c r="H18" s="1">
        <v>2</v>
      </c>
      <c r="I18" s="1"/>
      <c r="J18" s="1">
        <v>1</v>
      </c>
      <c r="K18" s="1"/>
      <c r="L18" s="1">
        <f>SaltTbl[[#This Row],[C]]+SaltTbl[[#This Row],[H]]+SaltTbl[[#This Row],[O]]+SaltTbl[[#This Row],[F]]+SaltTbl[[#This Row],[N]]+SaltTbl[[#This Row],[S]]+SaltTbl[[#This Row],[P]]+SaltTbl[[#This Row],[Li]]+SaltTbl[[#This Row],[B/Cl/As/Si etc.]]</f>
        <v>22</v>
      </c>
    </row>
    <row r="19" spans="1:12" x14ac:dyDescent="0.25">
      <c r="A19" s="1" t="s">
        <v>39</v>
      </c>
      <c r="B19" s="1" t="s">
        <v>177</v>
      </c>
      <c r="C19">
        <v>2</v>
      </c>
      <c r="E19" s="1">
        <v>4</v>
      </c>
      <c r="F19">
        <v>2</v>
      </c>
      <c r="J19" s="1">
        <v>1</v>
      </c>
      <c r="K19" s="1">
        <v>1</v>
      </c>
      <c r="L19" s="1">
        <f>SaltTbl[[#This Row],[C]]+SaltTbl[[#This Row],[H]]+SaltTbl[[#This Row],[O]]+SaltTbl[[#This Row],[F]]+SaltTbl[[#This Row],[N]]+SaltTbl[[#This Row],[S]]+SaltTbl[[#This Row],[P]]+SaltTbl[[#This Row],[Li]]+SaltTbl[[#This Row],[B/Cl/As/Si etc.]]</f>
        <v>10</v>
      </c>
    </row>
    <row r="20" spans="1:12" x14ac:dyDescent="0.25">
      <c r="A20" s="1" t="s">
        <v>67</v>
      </c>
      <c r="B20" s="1" t="s">
        <v>176</v>
      </c>
      <c r="C20" s="1">
        <v>1</v>
      </c>
      <c r="E20" s="1">
        <v>3</v>
      </c>
      <c r="F20" s="1">
        <v>3</v>
      </c>
      <c r="H20" s="1">
        <v>1</v>
      </c>
      <c r="J20" s="1">
        <v>1</v>
      </c>
      <c r="L20">
        <f>SaltTbl[[#This Row],[C]]+SaltTbl[[#This Row],[H]]+SaltTbl[[#This Row],[O]]+SaltTbl[[#This Row],[F]]+SaltTbl[[#This Row],[N]]+SaltTbl[[#This Row],[S]]+SaltTbl[[#This Row],[P]]+SaltTbl[[#This Row],[Li]]+SaltTbl[[#This Row],[B/Cl/As/Si etc.]]</f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ElectrolitosNuevosCreacion</vt:lpstr>
      <vt:lpstr>Molecular Solvent</vt:lpstr>
      <vt:lpstr>Molecular Salt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Y Ruben</dc:creator>
  <cp:lastModifiedBy>Enrique Y Ruben</cp:lastModifiedBy>
  <dcterms:created xsi:type="dcterms:W3CDTF">2025-10-23T23:06:44Z</dcterms:created>
  <dcterms:modified xsi:type="dcterms:W3CDTF">2025-10-24T03:49:43Z</dcterms:modified>
</cp:coreProperties>
</file>